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49d2d3e41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8182684791f426d"/>
    <x:sheet xmlns:r="http://schemas.openxmlformats.org/officeDocument/2006/relationships" name="Backlog" sheetId="2" r:id="R826a4ee57a3f46ad"/>
    <x:sheet xmlns:r="http://schemas.openxmlformats.org/officeDocument/2006/relationships" name="Kanban" sheetId="3" r:id="R79b23bb42d304e55"/>
    <x:sheet xmlns:r="http://schemas.openxmlformats.org/officeDocument/2006/relationships" name="Roadmap" sheetId="4" r:id="R168ce640583345ff"/>
    <x:sheet xmlns:r="http://schemas.openxmlformats.org/officeDocument/2006/relationships" name="Sprints" sheetId="5" r:id="R1463d01a430a4d0a"/>
    <x:sheet xmlns:r="http://schemas.openxmlformats.org/officeDocument/2006/relationships" name="Listas" sheetId="6" r:id="Rf8676021ea7242e0"/>
    <x:sheet xmlns:r="http://schemas.openxmlformats.org/officeDocument/2006/relationships" name="Equipe" sheetId="7" r:id="R69cde81df10f4538"/>
    <x:sheet xmlns:r="http://schemas.openxmlformats.org/officeDocument/2006/relationships" name="Decisoes MVP 19-10" sheetId="9" r:id="R2a9ace58fa7d437f"/>
    <x:sheet xmlns:r="http://schemas.openxmlformats.org/officeDocument/2006/relationships" name="Fase 0 Prototipo" sheetId="10" r:id="R09f3335b3f6f4c34"/>
    <x:sheet xmlns:r="http://schemas.openxmlformats.org/officeDocument/2006/relationships" name="Ambientes e Deploy" sheetId="11" r:id="Re508f56928ad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"/>
  </x:numFmts>
  <x:fonts count="5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667078"/>
      <x:name val="Carlito"/>
    </x:font>
    <x:font>
      <x:b/>
      <x:sz val="11"/>
      <x:color rgb="FF1A1F23"/>
      <x:name val="Carlito"/>
    </x:font>
    <x:font>
      <x:sz val="9"/>
      <x:color rgb="FF667078"/>
      <x:name val="Carlito"/>
    </x:font>
    <x:font>
      <x:b/>
      <x:sz val="18"/>
      <x:color rgb="FFFFFFFF"/>
      <x:name val="Carlito"/>
    </x:font>
    <x:font>
      <x:i/>
      <x:sz val="11"/>
      <x:color rgb="FF355B50"/>
      <x:name val="Carlito"/>
    </x:font>
    <x:font>
      <x:b/>
      <x:sz val="12"/>
      <x:color rgb="FF343A40"/>
      <x:name val="Carlito"/>
    </x:font>
    <x:font>
      <x:b/>
      <x:sz val="12"/>
      <x:color rgb="FF1D4ED8"/>
      <x:name val="Carlito"/>
    </x:font>
    <x:font>
      <x:b/>
      <x:sz val="12"/>
      <x:color rgb="FF8A5A00"/>
      <x:name val="Carlito"/>
    </x:font>
    <x:font>
      <x:b/>
      <x:sz val="12"/>
      <x:color rgb="FF6D28D9"/>
      <x:name val="Carlito"/>
    </x:font>
    <x:font>
      <x:b/>
      <x:sz val="12"/>
      <x:color rgb="FFB42318"/>
      <x:name val="Carlito"/>
    </x:font>
    <x:font>
      <x:b/>
      <x:sz val="12"/>
      <x:color rgb="FF166534"/>
      <x:name val="Carlito"/>
    </x:font>
    <x:font>
      <x:b/>
      <x:sz val="10"/>
      <x:color rgb="FF6C757D"/>
      <x:name val="Carlito"/>
    </x:font>
    <x:font>
      <x:sz val="8"/>
      <x:color rgb="FF59636A"/>
      <x:name val="Carlito"/>
    </x:font>
    <x:font>
      <x:b/>
      <x:i/>
      <x:sz val="11"/>
      <x:color rgb="FF495057"/>
      <x:name val="Carlito"/>
    </x:font>
    <x:font>
      <x:b/>
      <x:sz val="10"/>
      <x:color rgb="FF2563EB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i/>
      <x:sz val="11"/>
      <x:color rgb="FF315B4F"/>
      <x:name val="Carlito"/>
    </x:font>
    <x:font>
      <x:i/>
      <x:sz val="11"/>
      <x:color rgb="FF28476B"/>
      <x:name val="Carlito"/>
    </x:font>
    <x:font>
      <x:b/>
      <x:sz val="13"/>
      <x:color rgb="FF1F6B57"/>
      <x:name val="Carlito"/>
    </x:font>
    <x:font>
      <x:b/>
      <x:sz val="11"/>
      <x:color rgb="FF28476B"/>
      <x:name val="Carlito"/>
    </x:font>
    <x:font>
      <x:b/>
      <x:sz val="12"/>
      <x:color rgb="FF92400E"/>
      <x:name val="Carlito"/>
    </x:font>
    <x:font>
      <x:b/>
      <x:sz val="12"/>
      <x:color rgb="FFB91C1C"/>
      <x:name val="Carlito"/>
    </x:font>
    <x:font>
      <x:b/>
      <x:sz val="9"/>
      <x:color rgb="FF343A40"/>
      <x:name val="Carlito"/>
    </x:font>
    <x:font>
      <x:sz val="9"/>
      <x:color rgb="FF343A40"/>
      <x:name val="Carlito"/>
    </x:font>
    <x:font>
      <x:sz val="9"/>
      <x:color rgb="FF4B5563"/>
      <x:name val="Carlito"/>
    </x:font>
    <x:font>
      <x:b/>
      <x:sz val="9"/>
      <x:color rgb="FF4B5563"/>
      <x:name val="Carlito"/>
    </x:font>
    <x:font>
      <x:b/>
      <x:sz val="9"/>
      <x:color rgb="FF1D4ED8"/>
      <x:name val="Carlito"/>
    </x:font>
    <x:font>
      <x:sz val="9"/>
      <x:color rgb="FF1D4ED8"/>
      <x:name val="Carlito"/>
    </x:font>
    <x:font>
      <x:sz val="9"/>
      <x:color rgb="FF92400E"/>
      <x:name val="Carlito"/>
    </x:font>
    <x:font>
      <x:sz val="9"/>
      <x:color rgb="FF6D28D9"/>
      <x:name val="Carlito"/>
    </x:font>
    <x:font>
      <x:sz val="9"/>
      <x:color rgb="FFB91C1C"/>
      <x:name val="Carlito"/>
    </x:font>
    <x:font>
      <x:sz val="9"/>
      <x:color rgb="FF166534"/>
      <x:name val="Carlito"/>
    </x:font>
    <x:font>
      <x:b/>
      <x:sz val="20"/>
      <x:color rgb="FFFFFFFF"/>
      <x:name val="Carlito"/>
    </x:font>
    <x:font>
      <x:b/>
      <x:i/>
      <x:sz val="10"/>
      <x:color rgb="FFFFFFFF"/>
      <x:name val="Carlito"/>
    </x:font>
    <x:font>
      <x:b/>
      <x:i/>
      <x:sz val="12"/>
      <x:color rgb="FF0B5A50"/>
      <x:name val="Carlito"/>
    </x:font>
    <x:font>
      <x:i/>
      <x:sz val="10"/>
      <x:color rgb="FF36566F"/>
      <x:name val="Carlito"/>
    </x:font>
    <x:font>
      <x:b/>
      <x:sz val="12"/>
      <x:color rgb="FFFFFFFF"/>
      <x:name val="Carlito"/>
    </x:font>
    <x:font>
      <x:sz val="10"/>
      <x:color rgb="FF243B53"/>
      <x:name val="Carlito"/>
    </x:font>
    <x:font>
      <x:b/>
      <x:sz val="10"/>
      <x:color rgb="FF243B53"/>
      <x:name val="Carlito"/>
    </x:font>
    <x:font>
      <x:b/>
      <x:sz val="9"/>
      <x:color rgb="FF334E68"/>
      <x:name val="Carlito"/>
    </x:font>
    <x:font>
      <x:b/>
      <x:sz val="15"/>
      <x:color rgb="FF102A43"/>
      <x:name val="Carlito"/>
    </x:font>
    <x:font>
      <x:b/>
      <x:i/>
      <x:sz val="11"/>
      <x:color rgb="FFFFFFFF"/>
      <x:name val="Carlito"/>
    </x:font>
    <x:font>
      <x:b/>
      <x:i/>
      <x:sz val="10"/>
      <x:color rgb="FF355B50"/>
      <x:name val="Carlito"/>
    </x:font>
    <x:font>
      <x:i/>
      <x:sz val="10"/>
      <x:color rgb="FF355B50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i/>
      <x:sz val="10"/>
      <x:color rgb="FF64748B"/>
      <x:name val="Carlito"/>
    </x:font>
    <x:font>
      <x:i/>
      <x:sz val="10"/>
      <x:color rgb="FF64748B"/>
      <x:name val="Carlito"/>
    </x:font>
    <x:font>
      <x:b/>
      <x:sz val="14"/>
      <x:color rgb="FF102A43"/>
      <x:name val="Carlito"/>
    </x:font>
    <x:font>
      <x:sz val="11"/>
      <x:color rgb="FFFFFFFF"/>
      <x:name val="Carlito"/>
    </x:font>
    <x:font>
      <x:b/>
      <x:sz val="11"/>
      <x:name val="Carlito"/>
    </x:font>
  </x:fonts>
  <x:fills count="73">
    <x:fill>
      <x:patternFill patternType="none"/>
    </x:fill>
    <x:fill>
      <x:patternFill patternType="gray125"/>
    </x:fill>
    <x:fill>
      <x:patternFill patternType="solid">
        <x:fgColor rgb="FF1F6B57"/>
      </x:patternFill>
    </x:fill>
    <x:fill>
      <x:patternFill patternType="solid">
        <x:fgColor rgb="FF174D40"/>
      </x:patternFill>
    </x:fill>
    <x:fill>
      <x:patternFill patternType="solid">
        <x:fgColor rgb="FFFFFFFF"/>
      </x:patternFill>
    </x:fill>
    <x:fill>
      <x:patternFill patternType="solid">
        <x:fgColor rgb="FFF3F5F6"/>
      </x:patternFill>
    </x:fill>
    <x:fill>
      <x:patternFill patternType="solid">
        <x:fgColor rgb="FFF7F7F7"/>
      </x:patternFill>
    </x:fill>
    <x:fill>
      <x:patternFill patternType="solid">
        <x:fgColor rgb="FFEAF4F0"/>
      </x:patternFill>
    </x:fill>
    <x:fill>
      <x:patternFill patternType="solid">
        <x:fgColor rgb="FF173F35"/>
      </x:patternFill>
    </x:fill>
    <x:fill>
      <x:patternFill patternType="solid">
        <x:fgColor rgb="FF1F6B57"/>
      </x:patternFill>
    </x:fill>
    <x:fill>
      <x:patternFill patternType="solid">
        <x:fgColor rgb="FFE8F3EF"/>
      </x:patternFill>
    </x:fill>
    <x:fill>
      <x:patternFill patternType="solid">
        <x:fgColor rgb="FFEAF2FF"/>
      </x:patternFill>
    </x:fill>
    <x:fill>
      <x:patternFill patternType="solid">
        <x:fgColor rgb="FFFFF3CD"/>
      </x:patternFill>
    </x:fill>
    <x:fill>
      <x:patternFill patternType="solid">
        <x:fgColor rgb="FFF3F5F6"/>
      </x:patternFill>
    </x:fill>
    <x:fill>
      <x:patternFill patternType="solid">
        <x:fgColor rgb="FFE9ECEF"/>
      </x:patternFill>
    </x:fill>
    <x:fill>
      <x:patternFill patternType="solid">
        <x:fgColor rgb="FFDDEBFF"/>
      </x:patternFill>
    </x:fill>
    <x:fill>
      <x:patternFill patternType="solid">
        <x:fgColor rgb="FFEDE9FE"/>
      </x:patternFill>
    </x:fill>
    <x:fill>
      <x:patternFill patternType="solid">
        <x:fgColor rgb="FFFDE2E2"/>
      </x:patternFill>
    </x:fill>
    <x:fill>
      <x:patternFill patternType="solid">
        <x:fgColor rgb="FFDFF3E7"/>
      </x:patternFill>
    </x:fill>
    <x:fill>
      <x:patternFill patternType="solid">
        <x:fgColor rgb="FFF8F9FA"/>
      </x:patternFill>
    </x:fill>
    <x:fill>
      <x:patternFill patternType="solid">
        <x:fgColor rgb="FFFFFFFF"/>
      </x:patternFill>
    </x:fill>
    <x:fill>
      <x:patternFill patternType="solid">
        <x:fgColor rgb="FFF1F3F5"/>
      </x:patternFill>
    </x:fill>
    <x:fill>
      <x:patternFill patternType="solid">
        <x:fgColor rgb="FFEEF4FF"/>
      </x:patternFill>
    </x:fill>
    <x:fill>
      <x:patternFill patternType="solid">
        <x:fgColor rgb="FFFAFBFB"/>
      </x:patternFill>
    </x:fill>
    <x:fill>
      <x:patternFill patternType="solid">
        <x:fgColor rgb="FFEAF4F0"/>
      </x:patternFill>
    </x:fill>
    <x:fill>
      <x:patternFill patternType="solid">
        <x:fgColor rgb="FFF8FAF9"/>
      </x:patternFill>
    </x:fill>
    <x:fill>
      <x:patternFill patternType="solid">
        <x:fgColor rgb="FF27364A"/>
      </x:patternFill>
    </x:fill>
    <x:fill>
      <x:patternFill patternType="solid">
        <x:fgColor rgb="FF456B92"/>
      </x:patternFill>
    </x:fill>
    <x:fill>
      <x:patternFill patternType="solid">
        <x:fgColor rgb="FFF6FAF8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102A43"/>
      </x:patternFill>
    </x:fill>
    <x:fill>
      <x:patternFill patternType="solid">
        <x:fgColor rgb="FF0F766E"/>
      </x:patternFill>
    </x:fill>
    <x:fill>
      <x:patternFill patternType="solid">
        <x:fgColor rgb="FFDFF4EE"/>
      </x:patternFill>
    </x:fill>
    <x:fill>
      <x:patternFill patternType="solid">
        <x:fgColor rgb="FFEAF2F8"/>
      </x:patternFill>
    </x:fill>
    <x:fill>
      <x:patternFill patternType="solid">
        <x:fgColor rgb="FF475569"/>
      </x:patternFill>
    </x:fill>
    <x:fill>
      <x:patternFill patternType="solid">
        <x:fgColor rgb="FF2563EB"/>
      </x:patternFill>
    </x:fill>
    <x:fill>
      <x:patternFill patternType="solid">
        <x:fgColor rgb="FFD97706"/>
      </x:patternFill>
    </x:fill>
    <x:fill>
      <x:patternFill patternType="solid">
        <x:fgColor rgb="FF7C3AED"/>
      </x:patternFill>
    </x:fill>
    <x:fill>
      <x:patternFill patternType="solid">
        <x:fgColor rgb="FFDC2626"/>
      </x:patternFill>
    </x:fill>
    <x:fill>
      <x:patternFill patternType="solid">
        <x:fgColor rgb="FF16A34A"/>
      </x:patternFill>
    </x:fill>
    <x:fill>
      <x:patternFill patternType="solid">
        <x:fgColor rgb="FFF1F5F9"/>
      </x:patternFill>
    </x:fill>
    <x:fill>
      <x:patternFill patternType="solid">
        <x:fgColor rgb="FFEFF6FF"/>
      </x:patternFill>
    </x:fill>
    <x:fill>
      <x:patternFill patternType="solid">
        <x:fgColor rgb="FFFFFBEB"/>
      </x:patternFill>
    </x:fill>
    <x:fill>
      <x:patternFill patternType="solid">
        <x:fgColor rgb="FFF5F3FF"/>
      </x:patternFill>
    </x:fill>
    <x:fill>
      <x:patternFill patternType="solid">
        <x:fgColor rgb="FFFEF2F2"/>
      </x:patternFill>
    </x:fill>
    <x:fill>
      <x:patternFill patternType="solid">
        <x:fgColor rgb="FFF0FDF4"/>
      </x:patternFill>
    </x:fill>
    <x:fill>
      <x:patternFill patternType="solid">
        <x:fgColor rgb="FFE8EEF3"/>
      </x:patternFill>
    </x:fill>
    <x:fill>
      <x:patternFill patternType="solid">
        <x:fgColor rgb="FF173F35"/>
      </x:patternFill>
    </x:fill>
    <x:fill>
      <x:patternFill patternType="solid">
        <x:fgColor rgb="FF0F766E"/>
      </x:patternFill>
    </x:fill>
    <x:fill>
      <x:patternFill patternType="solid">
        <x:fgColor rgb="FFDFF4EE"/>
      </x:patternFill>
    </x:fill>
    <x:fill>
      <x:patternFill patternType="solid">
        <x:fgColor rgb="FFEAF4F0"/>
      </x:patternFill>
    </x:fill>
    <x:fill>
      <x:patternFill patternType="solid">
        <x:fgColor rgb="FF475569"/>
      </x:patternFill>
    </x:fill>
    <x:fill>
      <x:patternFill patternType="solid">
        <x:fgColor rgb="FF2563EB"/>
      </x:patternFill>
    </x:fill>
    <x:fill>
      <x:patternFill patternType="solid">
        <x:fgColor rgb="FFD97706"/>
      </x:patternFill>
    </x:fill>
    <x:fill>
      <x:patternFill patternType="solid">
        <x:fgColor rgb="FF7C3AED"/>
      </x:patternFill>
    </x:fill>
    <x:fill>
      <x:patternFill patternType="solid">
        <x:fgColor rgb="FFDC2626"/>
      </x:patternFill>
    </x:fill>
    <x:fill>
      <x:patternFill patternType="solid">
        <x:fgColor rgb="FF16A34A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FFFBEB"/>
      </x:patternFill>
    </x:fill>
    <x:fill>
      <x:patternFill patternType="solid">
        <x:fgColor rgb="FFF5F3FF"/>
      </x:patternFill>
    </x:fill>
    <x:fill>
      <x:patternFill patternType="solid">
        <x:fgColor rgb="FFFEF2F2"/>
      </x:patternFill>
    </x:fill>
    <x:fill>
      <x:patternFill patternType="solid">
        <x:fgColor rgb="FFF0FDF4"/>
      </x:patternFill>
    </x:fill>
    <x:fill>
      <x:patternFill patternType="solid">
        <x:fgColor rgb="FFF1F5F9"/>
      </x:patternFill>
    </x:fill>
    <x:fill>
      <x:patternFill patternType="solid">
        <x:fgColor rgb="FFE8EEF3"/>
      </x:patternFill>
    </x:fill>
    <x:fill>
      <x:patternFill patternType="solid">
        <x:fgColor rgb="FF123151"/>
      </x:patternFill>
    </x:fill>
    <x:fill>
      <x:patternFill patternType="solid">
        <x:fgColor rgb="FF163149"/>
      </x:patternFill>
    </x:fill>
    <x:fill>
      <x:patternFill patternType="solid">
        <x:fgColor rgb="FF163B59"/>
      </x:patternFill>
    </x:fill>
    <x:fill>
      <x:patternFill patternType="solid">
        <x:fgColor rgb="FF22628D"/>
      </x:patternFill>
    </x:fill>
  </x:fills>
  <x:borders count="8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3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3" xfId="0" applyNumberFormat="1" applyFont="1" applyFill="1" applyBorder="1"/>
    <x:xf numFmtId="0" fontId="4" fillId="6" borderId="3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2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3" xfId="0" applyNumberFormat="1" applyFont="1" applyFill="1" applyBorder="1"/>
    <x:xf numFmtId="0" fontId="4" fillId="7" borderId="3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left" vertical="top"/>
    </x:xf>
    <x:xf numFmtId="0" fontId="3" fillId="0" borderId="0" xfId="0" applyNumberFormat="1" applyFont="1" applyFill="1" applyBorder="1" applyAlignment="1">
      <x:alignment vertical="top"/>
    </x:xf>
    <x:xf numFmtId="0" fontId="4" fillId="6" borderId="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left" vertical="top"/>
    </x:xf>
    <x:xf numFmtId="0" fontId="3" fillId="0" borderId="1" xfId="0" applyNumberFormat="1" applyFont="1" applyFill="1" applyBorder="1" applyAlignment="1">
      <x:alignment vertical="top"/>
    </x:xf>
    <x:xf numFmtId="0" fontId="4" fillId="6" borderId="3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2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left" vertical="top" wrapText="1"/>
    </x:xf>
    <x:xf numFmtId="0" fontId="6" fillId="8" borderId="0" xfId="0" applyNumberFormat="1" applyFont="1" applyFill="1" applyBorder="1" applyAlignment="1">
      <x:alignment horizontal="left" vertical="top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1" fillId="2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xfId="0" applyNumberFormat="1" applyFont="1" applyFill="1" applyBorder="0" applyAlignment="1">
      <x:alignment horizontal="center" vertical="top" wrapText="1"/>
    </x:xf>
    <x:xf numFmtId="0" fontId="0" fillId="0" xfId="0" applyNumberFormat="1" applyFont="1" applyFill="1" applyBorder="0" applyAlignment="1">
      <x:alignment vertical="top" wrapText="1"/>
    </x:xf>
    <x:xf numFmtId="200" fontId="0" fillId="0" xfId="0" applyNumberFormat="1" applyFont="1" applyFill="1" applyBorder="0" applyAlignment="1">
      <x:alignment vertical="top" wrapText="1"/>
    </x:xf>
    <x:xf numFmtId="0" fontId="2" fillId="8" borderId="0" xfId="0" applyNumberFormat="1" applyFont="1" applyFill="1" applyBorder="1" applyAlignment="1">
      <x:alignment horizontal="left" vertical="top"/>
    </x:xf>
    <x:xf numFmtId="0" fontId="6" fillId="8" borderId="0" xfId="0" applyNumberFormat="1" applyFont="1" applyFill="1" applyBorder="1" applyAlignment="1">
      <x:alignment horizontal="left" vertical="top"/>
    </x:xf>
    <x:xf numFmtId="0" fontId="6" fillId="8" borderId="0" xfId="0" applyNumberFormat="1" applyFont="1" applyFill="1" applyBorder="1" applyAlignment="1">
      <x:alignment horizontal="left" vertical="center"/>
    </x:xf>
    <x:xf numFmtId="0" fontId="3" fillId="10" borderId="0" xfId="0" applyNumberFormat="1" applyFont="1" applyFill="1" applyBorder="1" applyAlignment="1">
      <x:alignment vertical="top"/>
    </x:xf>
    <x:xf numFmtId="0" fontId="7" fillId="10" borderId="0" xfId="0" applyNumberFormat="1" applyFont="1" applyFill="1" applyBorder="1" applyAlignment="1">
      <x:alignment vertical="top"/>
    </x:xf>
    <x:xf numFmtId="0" fontId="1" fillId="14" borderId="0" xfId="0" applyNumberFormat="1" applyFont="1" applyFill="1" applyBorder="1" applyAlignment="1">
      <x:alignment horizontal="center" vertical="top" wrapText="1"/>
    </x:xf>
    <x:xf numFmtId="0" fontId="8" fillId="14" borderId="0" xfId="0" applyNumberFormat="1" applyFont="1" applyFill="1" applyBorder="1" applyAlignment="1">
      <x:alignment horizontal="center" vertical="top" wrapText="1"/>
    </x:xf>
    <x:xf numFmtId="0" fontId="8" fillId="14" borderId="10" xfId="0" applyNumberFormat="1" applyFont="1" applyFill="1" applyBorder="1" applyAlignment="1">
      <x:alignment horizontal="center" vertical="top" wrapText="1"/>
    </x:xf>
    <x:xf numFmtId="0" fontId="8" fillId="14" borderId="1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top" wrapText="1"/>
    </x:xf>
    <x:xf numFmtId="0" fontId="9" fillId="15" borderId="0" xfId="0" applyNumberFormat="1" applyFont="1" applyFill="1" applyBorder="1" applyAlignment="1">
      <x:alignment horizontal="center" vertical="top" wrapText="1"/>
    </x:xf>
    <x:xf numFmtId="0" fontId="9" fillId="15" borderId="10" xfId="0" applyNumberFormat="1" applyFont="1" applyFill="1" applyBorder="1" applyAlignment="1">
      <x:alignment horizontal="center" vertical="top" wrapText="1"/>
    </x:xf>
    <x:xf numFmtId="0" fontId="9" fillId="15" borderId="1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center" vertical="top" wrapText="1"/>
    </x:xf>
    <x:xf numFmtId="0" fontId="10" fillId="12" borderId="0" xfId="0" applyNumberFormat="1" applyFont="1" applyFill="1" applyBorder="1" applyAlignment="1">
      <x:alignment horizontal="center" vertical="top" wrapText="1"/>
    </x:xf>
    <x:xf numFmtId="0" fontId="10" fillId="12" borderId="10" xfId="0" applyNumberFormat="1" applyFont="1" applyFill="1" applyBorder="1" applyAlignment="1">
      <x:alignment horizontal="center" vertical="top" wrapText="1"/>
    </x:xf>
    <x:xf numFmtId="0" fontId="10" fillId="12" borderId="1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horizontal="center" vertical="top" wrapText="1"/>
    </x:xf>
    <x:xf numFmtId="0" fontId="11" fillId="16" borderId="0" xfId="0" applyNumberFormat="1" applyFont="1" applyFill="1" applyBorder="1" applyAlignment="1">
      <x:alignment horizontal="center" vertical="top" wrapText="1"/>
    </x:xf>
    <x:xf numFmtId="0" fontId="11" fillId="16" borderId="10" xfId="0" applyNumberFormat="1" applyFont="1" applyFill="1" applyBorder="1" applyAlignment="1">
      <x:alignment horizontal="center" vertical="top" wrapText="1"/>
    </x:xf>
    <x:xf numFmtId="0" fontId="11" fillId="16" borderId="10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horizontal="center" vertical="top" wrapText="1"/>
    </x:xf>
    <x:xf numFmtId="0" fontId="12" fillId="17" borderId="0" xfId="0" applyNumberFormat="1" applyFont="1" applyFill="1" applyBorder="1" applyAlignment="1">
      <x:alignment horizontal="center" vertical="top" wrapText="1"/>
    </x:xf>
    <x:xf numFmtId="0" fontId="12" fillId="17" borderId="10" xfId="0" applyNumberFormat="1" applyFont="1" applyFill="1" applyBorder="1" applyAlignment="1">
      <x:alignment horizontal="center" vertical="top" wrapText="1"/>
    </x:xf>
    <x:xf numFmtId="0" fontId="12" fillId="17" borderId="10" xfId="0" applyNumberFormat="1" applyFont="1" applyFill="1" applyBorder="1" applyAlignment="1">
      <x:alignment horizontal="center" vertical="center" wrapText="1"/>
    </x:xf>
    <x:xf numFmtId="0" fontId="1" fillId="18" borderId="0" xfId="0" applyNumberFormat="1" applyFont="1" applyFill="1" applyBorder="1" applyAlignment="1">
      <x:alignment horizontal="center" vertical="top" wrapText="1"/>
    </x:xf>
    <x:xf numFmtId="0" fontId="13" fillId="18" borderId="0" xfId="0" applyNumberFormat="1" applyFont="1" applyFill="1" applyBorder="1" applyAlignment="1">
      <x:alignment horizontal="center" vertical="top" wrapText="1"/>
    </x:xf>
    <x:xf numFmtId="0" fontId="13" fillId="18" borderId="10" xfId="0" applyNumberFormat="1" applyFont="1" applyFill="1" applyBorder="1" applyAlignment="1">
      <x:alignment horizontal="center" vertical="top" wrapText="1"/>
    </x:xf>
    <x:xf numFmtId="0" fontId="13" fillId="18" borderId="10" xfId="0" applyNumberFormat="1" applyFont="1" applyFill="1" applyBorder="1" applyAlignment="1">
      <x:alignment horizontal="center" vertical="center" wrapText="1"/>
    </x:xf>
    <x:xf numFmtId="0" fontId="4" fillId="19" borderId="2" xfId="0" applyNumberFormat="1" applyFont="1" applyFill="1" applyBorder="1" applyAlignment="1">
      <x:alignment vertical="top" wrapText="1"/>
    </x:xf>
    <x:xf numFmtId="0" fontId="14" fillId="19" borderId="2" xfId="0" applyNumberFormat="1" applyFont="1" applyFill="1" applyBorder="1" applyAlignment="1">
      <x:alignment vertical="top" wrapText="1"/>
    </x:xf>
    <x:xf numFmtId="0" fontId="14" fillId="19" borderId="11" xfId="0" applyNumberFormat="1" applyFont="1" applyFill="1" applyBorder="1" applyAlignment="1">
      <x:alignment vertical="top" wrapText="1"/>
    </x:xf>
    <x:xf numFmtId="0" fontId="14" fillId="19" borderId="12" xfId="0" applyNumberFormat="1" applyFont="1" applyFill="1" applyBorder="1" applyAlignment="1">
      <x:alignment vertical="top" wrapText="1"/>
    </x:xf>
    <x:xf numFmtId="0" fontId="4" fillId="19" borderId="0" xfId="0" applyNumberFormat="1" applyFont="1" applyFill="1" applyBorder="1" applyAlignment="1">
      <x:alignment vertical="top" wrapText="1"/>
    </x:xf>
    <x:xf numFmtId="0" fontId="14" fillId="19" borderId="0" xfId="0" applyNumberFormat="1" applyFont="1" applyFill="1" applyBorder="1" applyAlignment="1">
      <x:alignment vertical="top" wrapText="1"/>
    </x:xf>
    <x:xf numFmtId="0" fontId="14" fillId="19" borderId="13" xfId="0" applyNumberFormat="1" applyFont="1" applyFill="1" applyBorder="1" applyAlignment="1">
      <x:alignment vertical="top" wrapText="1"/>
    </x:xf>
    <x:xf numFmtId="0" fontId="14" fillId="19" borderId="14" xfId="0" applyNumberFormat="1" applyFont="1" applyFill="1" applyBorder="1" applyAlignment="1">
      <x:alignment vertical="top" wrapText="1"/>
    </x:xf>
    <x:xf numFmtId="0" fontId="5" fillId="20" borderId="2" xfId="0" applyNumberFormat="1" applyFont="1" applyFill="1" applyBorder="1" applyAlignment="1">
      <x:alignment vertical="top" wrapText="1"/>
    </x:xf>
    <x:xf numFmtId="0" fontId="15" fillId="20" borderId="2" xfId="0" applyNumberFormat="1" applyFont="1" applyFill="1" applyBorder="1" applyAlignment="1">
      <x:alignment vertical="top" wrapText="1"/>
    </x:xf>
    <x:xf numFmtId="0" fontId="15" fillId="20" borderId="15" xfId="0" applyNumberFormat="1" applyFont="1" applyFill="1" applyBorder="1" applyAlignment="1">
      <x:alignment vertical="top" wrapText="1"/>
    </x:xf>
    <x:xf numFmtId="0" fontId="15" fillId="20" borderId="16" xfId="0" applyNumberFormat="1" applyFont="1" applyFill="1" applyBorder="1" applyAlignment="1">
      <x:alignment vertical="top" wrapText="1"/>
    </x:xf>
    <x:xf numFmtId="0" fontId="5" fillId="20" borderId="0" xfId="0" applyNumberFormat="1" applyFont="1" applyFill="1" applyBorder="1" applyAlignment="1">
      <x:alignment vertical="top" wrapText="1"/>
    </x:xf>
    <x:xf numFmtId="0" fontId="15" fillId="20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top"/>
    </x:xf>
    <x:xf numFmtId="0" fontId="4" fillId="21" borderId="2" xfId="0" applyNumberFormat="1" applyFont="1" applyFill="1" applyBorder="1" applyAlignment="1">
      <x:alignment vertical="top" wrapText="1"/>
    </x:xf>
    <x:xf numFmtId="0" fontId="16" fillId="21" borderId="2" xfId="0" applyNumberFormat="1" applyFont="1" applyFill="1" applyBorder="1" applyAlignment="1">
      <x:alignment vertical="top" wrapText="1"/>
    </x:xf>
    <x:xf numFmtId="0" fontId="16" fillId="21" borderId="2" xfId="0" applyNumberFormat="1" applyFont="1" applyFill="1" applyBorder="1" applyAlignment="1">
      <x:alignment horizontal="center" vertical="top" wrapText="1"/>
    </x:xf>
    <x:xf numFmtId="0" fontId="4" fillId="21" borderId="0" xfId="0" applyNumberFormat="1" applyFont="1" applyFill="1" applyBorder="1" applyAlignment="1">
      <x:alignment vertical="top" wrapText="1"/>
    </x:xf>
    <x:xf numFmtId="0" fontId="16" fillId="21" borderId="0" xfId="0" applyNumberFormat="1" applyFont="1" applyFill="1" applyBorder="1" applyAlignment="1">
      <x:alignment vertical="top" wrapText="1"/>
    </x:xf>
    <x:xf numFmtId="0" fontId="16" fillId="21" borderId="0" xfId="0" applyNumberFormat="1" applyFont="1" applyFill="1" applyBorder="1" applyAlignment="1">
      <x:alignment horizontal="center" vertical="top" wrapText="1"/>
    </x:xf>
    <x:xf numFmtId="0" fontId="4" fillId="22" borderId="2" xfId="0" applyNumberFormat="1" applyFont="1" applyFill="1" applyBorder="1" applyAlignment="1">
      <x:alignment vertical="top" wrapText="1"/>
    </x:xf>
    <x:xf numFmtId="0" fontId="17" fillId="22" borderId="2" xfId="0" applyNumberFormat="1" applyFont="1" applyFill="1" applyBorder="1" applyAlignment="1">
      <x:alignment vertical="top" wrapText="1"/>
    </x:xf>
    <x:xf numFmtId="0" fontId="17" fillId="22" borderId="11" xfId="0" applyNumberFormat="1" applyFont="1" applyFill="1" applyBorder="1" applyAlignment="1">
      <x:alignment vertical="top" wrapText="1"/>
    </x:xf>
    <x:xf numFmtId="0" fontId="17" fillId="22" borderId="12" xfId="0" applyNumberFormat="1" applyFont="1" applyFill="1" applyBorder="1" applyAlignment="1">
      <x:alignment vertical="top" wrapText="1"/>
    </x:xf>
    <x:xf numFmtId="0" fontId="4" fillId="22" borderId="0" xfId="0" applyNumberFormat="1" applyFont="1" applyFill="1" applyBorder="1" applyAlignment="1">
      <x:alignment vertical="top" wrapText="1"/>
    </x:xf>
    <x:xf numFmtId="0" fontId="17" fillId="22" borderId="0" xfId="0" applyNumberFormat="1" applyFont="1" applyFill="1" applyBorder="1" applyAlignment="1">
      <x:alignment vertical="top" wrapText="1"/>
    </x:xf>
    <x:xf numFmtId="0" fontId="17" fillId="22" borderId="13" xfId="0" applyNumberFormat="1" applyFont="1" applyFill="1" applyBorder="1" applyAlignment="1">
      <x:alignment vertical="top" wrapText="1"/>
    </x:xf>
    <x:xf numFmtId="0" fontId="17" fillId="22" borderId="14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horizontal="center" vertical="top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top" wrapText="1"/>
    </x:xf>
    <x:xf numFmtId="201" fontId="0" fillId="23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horizontal="center" vertical="top"/>
    </x:xf>
    <x:xf numFmtId="0" fontId="1" fillId="9" borderId="0" xfId="0" applyNumberFormat="1" applyFont="1" applyFill="1" applyBorder="1" applyAlignment="1">
      <x:alignment horizontal="center" vertical="center"/>
    </x:xf>
    <x:xf numFmtId="0" fontId="18" fillId="8" borderId="0" xfId="0" applyNumberFormat="1" applyFont="1" applyFill="1" applyBorder="1" applyAlignment="1">
      <x:alignment horizontal="center" vertical="center" wrapText="1"/>
    </x:xf>
    <x:xf numFmtId="0" fontId="19" fillId="9" borderId="0" xfId="0" applyNumberFormat="1" applyFont="1" applyFill="1" applyBorder="1" applyAlignment="1">
      <x:alignment vertical="top"/>
    </x:xf>
    <x:xf numFmtId="0" fontId="19" fillId="9" borderId="0" xfId="0" applyNumberFormat="1" applyFont="1" applyFill="1" applyBorder="1" applyAlignment="1">
      <x:alignment horizontal="center" vertical="top"/>
    </x:xf>
    <x:xf numFmtId="0" fontId="19" fillId="9" borderId="0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 applyAlignment="1">
      <x:alignment vertical="top"/>
    </x:xf>
    <x:xf numFmtId="0" fontId="20" fillId="24" borderId="0" xfId="0" applyNumberFormat="1" applyFont="1" applyFill="1" applyBorder="1" applyAlignment="1">
      <x:alignment vertical="top"/>
    </x:xf>
    <x:xf numFmtId="0" fontId="20" fillId="24" borderId="0" xfId="0" applyNumberFormat="1" applyFont="1" applyFill="1" applyBorder="1" applyAlignment="1">
      <x:alignment vertical="top" wrapText="1"/>
    </x:xf>
    <x:xf numFmtId="0" fontId="20" fillId="24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 applyAlignment="1">
      <x:alignment vertical="top" wrapText="1"/>
    </x:xf>
    <x:xf numFmtId="201" fontId="0" fillId="25" borderId="0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0" xfId="0" applyNumberFormat="1" applyFont="1" applyFill="1" applyBorder="1" applyAlignment="1">
      <x:alignment horizontal="left"/>
    </x:xf>
    <x:xf numFmtId="0" fontId="2" fillId="26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21" fillId="11" borderId="0" xfId="0" applyNumberFormat="1" applyFont="1" applyFill="1" applyBorder="1"/>
    <x:xf numFmtId="0" fontId="21" fillId="11" borderId="0" xfId="0" applyNumberFormat="1" applyFont="1" applyFill="1" applyBorder="1" applyAlignment="1">
      <x:alignment wrapText="1"/>
    </x:xf>
    <x:xf numFmtId="0" fontId="21" fillId="11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wrapText="1"/>
    </x:xf>
    <x:xf numFmtId="0" fontId="1" fillId="27" borderId="0" xfId="0" applyNumberFormat="1" applyFont="1" applyFill="1" applyBorder="1" applyAlignment="1">
      <x:alignment horizontal="center" wrapText="1"/>
    </x:xf>
    <x:xf numFmtId="0" fontId="1" fillId="27" borderId="0" xfId="0" applyNumberFormat="1" applyFont="1" applyFill="1" applyBorder="1" applyAlignment="1">
      <x:alignment horizontal="center" vertical="center" wrapText="1"/>
    </x:xf>
    <x:xf numFmtId="0" fontId="7" fillId="24" borderId="0" xfId="0" applyNumberFormat="1" applyFont="1" applyFill="1" applyBorder="1" applyAlignment="1">
      <x:alignment vertical="top"/>
    </x:xf>
    <x:xf numFmtId="0" fontId="0" fillId="9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vertical="top"/>
    </x:xf>
    <x:xf numFmtId="0" fontId="6" fillId="8" borderId="0" xfId="0" applyNumberFormat="1" applyFont="1" applyFill="1" applyBorder="1" applyAlignment="1">
      <x:alignment vertical="top"/>
    </x:xf>
    <x:xf numFmtId="0" fontId="3" fillId="24" borderId="0" xfId="0" applyNumberFormat="1" applyFont="1" applyFill="1" applyBorder="1" applyAlignment="1">
      <x:alignment vertical="top" wrapText="1"/>
    </x:xf>
    <x:xf numFmtId="0" fontId="7" fillId="24" borderId="0" xfId="0" applyNumberFormat="1" applyFont="1" applyFill="1" applyBorder="1" applyAlignment="1">
      <x:alignment vertical="top" wrapText="1"/>
    </x:xf>
    <x:xf numFmtId="0" fontId="7" fillId="24" borderId="0" xfId="0" applyNumberFormat="1" applyFont="1" applyFill="1" applyBorder="1" applyAlignment="1">
      <x:alignment horizontal="left" vertical="top" wrapText="1"/>
    </x:xf>
    <x:xf numFmtId="0" fontId="7" fillId="24" borderId="0" xfId="0" applyNumberFormat="1" applyFont="1" applyFill="1" applyBorder="1" applyAlignment="1">
      <x:alignment horizontal="left" vertical="top"/>
    </x:xf>
    <x:xf numFmtId="0" fontId="1" fillId="9" borderId="4" xfId="0" applyNumberFormat="1" applyFont="1" applyFill="1" applyBorder="1" applyAlignment="1">
      <x:alignment horizontal="center" vertical="top" wrapText="1"/>
    </x:xf>
    <x:xf numFmtId="0" fontId="1" fillId="9" borderId="5" xfId="0" applyNumberFormat="1" applyFont="1" applyFill="1" applyBorder="1" applyAlignment="1">
      <x:alignment horizontal="center" vertical="top" wrapText="1"/>
    </x:xf>
    <x:xf numFmtId="0" fontId="1" fillId="9" borderId="4" xfId="0" applyNumberFormat="1" applyFont="1" applyFill="1" applyBorder="1" applyAlignment="1">
      <x:alignment horizontal="center" vertical="center" wrapText="1"/>
    </x:xf>
    <x:xf numFmtId="0" fontId="1" fillId="9" borderId="5" xfId="0" applyNumberFormat="1" applyFont="1" applyFill="1" applyBorder="1" applyAlignment="1">
      <x:alignment horizontal="center" vertical="center" wrapText="1"/>
    </x:xf>
    <x:xf numFmtId="0" fontId="1" fillId="9" xfId="0" applyNumberFormat="1" applyFont="1" applyFill="1" applyBorder="0" applyAlignment="1">
      <x:alignment horizontal="center" vertical="top" wrapText="1"/>
    </x:xf>
    <x:xf numFmtId="0" fontId="1" fillId="9" xfId="0" applyNumberFormat="1" applyFont="1" applyFill="1" applyBorder="0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/>
    </x:xf>
    <x:xf numFmtId="0" fontId="4" fillId="13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vertical="top"/>
    </x:xf>
    <x:xf numFmtId="0" fontId="4" fillId="13" borderId="0" xfId="0" applyNumberFormat="1" applyFont="1" applyFill="1" applyBorder="1" applyAlignment="1">
      <x:alignment horizontal="left" vertical="top" wrapText="1"/>
    </x:xf>
    <x:xf numFmtId="0" fontId="4" fillId="13" borderId="0" xfId="0" applyNumberFormat="1" applyFont="1" applyFill="1" applyBorder="1" applyAlignment="1">
      <x:alignment horizontal="left" vertical="top"/>
    </x:xf>
    <x:xf numFmtId="0" fontId="4" fillId="13" borderId="0" xfId="0" applyNumberFormat="1" applyFont="1" applyFill="1" applyBorder="1" applyAlignment="1">
      <x:alignment horizontal="left" vertical="center" wrapText="1"/>
    </x:xf>
    <x:xf numFmtId="0" fontId="4" fillId="13" borderId="0" xfId="0" applyNumberFormat="1" applyFont="1" applyFill="1" applyBorder="1" applyAlignment="1">
      <x:alignment horizontal="left" vertical="center"/>
    </x:xf>
    <x:xf numFmtId="0" fontId="0" fillId="28" borderId="0" xfId="0" applyNumberFormat="1" applyFont="1" applyFill="1" applyBorder="1" applyAlignment="1">
      <x:alignment vertical="top" wrapText="1"/>
    </x:xf>
    <x:xf numFmtId="0" fontId="0" fillId="28" borderId="0" xfId="0" applyNumberFormat="1" applyFont="1" applyFill="1" applyBorder="1" applyAlignment="1">
      <x:alignment vertical="top"/>
    </x:xf>
    <x:xf numFmtId="0" fontId="22" fillId="28" borderId="0" xfId="0" applyNumberFormat="1" applyFont="1" applyFill="1" applyBorder="1" applyAlignment="1">
      <x:alignment vertical="top" wrapText="1"/>
    </x:xf>
    <x:xf numFmtId="0" fontId="22" fillId="28" borderId="0" xfId="0" applyNumberFormat="1" applyFont="1" applyFill="1" applyBorder="1" applyAlignment="1">
      <x:alignment vertical="top"/>
    </x:xf>
    <x:xf numFmtId="0" fontId="22" fillId="28" borderId="0" xfId="0" applyNumberFormat="1" applyFont="1" applyFill="1" applyBorder="1" applyAlignment="1">
      <x:alignment horizontal="center" vertical="top" wrapText="1"/>
    </x:xf>
    <x:xf numFmtId="0" fontId="22" fillId="28" borderId="0" xfId="0" applyNumberFormat="1" applyFont="1" applyFill="1" applyBorder="1" applyAlignment="1">
      <x:alignment horizontal="center" vertical="top"/>
    </x:xf>
    <x:xf numFmtId="0" fontId="22" fillId="28" borderId="0" xfId="0" applyNumberFormat="1" applyFont="1" applyFill="1" applyBorder="1" applyAlignment="1">
      <x:alignment horizontal="center" vertical="center" wrapText="1"/>
    </x:xf>
    <x:xf numFmtId="0" fontId="22" fillId="28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 applyAlignment="1">
      <x:alignment vertical="top"/>
    </x:xf>
    <x:xf numFmtId="0" fontId="23" fillId="11" borderId="0" xfId="0" applyNumberFormat="1" applyFont="1" applyFill="1" applyBorder="1" applyAlignment="1">
      <x:alignment vertical="top"/>
    </x:xf>
    <x:xf numFmtId="0" fontId="23" fillId="11" borderId="0" xfId="0" applyNumberFormat="1" applyFont="1" applyFill="1" applyBorder="1" applyAlignment="1">
      <x:alignment vertical="top" wrapText="1"/>
    </x:xf>
    <x:xf numFmtId="0" fontId="23" fillId="11" borderId="0" xfId="0" applyNumberFormat="1" applyFont="1" applyFill="1" applyBorder="1" applyAlignment="1">
      <x:alignment vertical="center" wrapText="1"/>
    </x:xf>
    <x:xf numFmtId="0" fontId="9" fillId="29" borderId="10" xfId="0" applyNumberFormat="1" applyFont="1" applyFill="1" applyBorder="1" applyAlignment="1">
      <x:alignment horizontal="center" vertical="center" wrapText="1"/>
    </x:xf>
    <x:xf numFmtId="0" fontId="10" fillId="30" borderId="10" xfId="0" applyNumberFormat="1" applyFont="1" applyFill="1" applyBorder="1" applyAlignment="1">
      <x:alignment horizontal="center" vertical="center" wrapText="1"/>
    </x:xf>
    <x:xf numFmtId="0" fontId="24" fillId="30" borderId="10" xfId="0" applyNumberFormat="1" applyFont="1" applyFill="1" applyBorder="1" applyAlignment="1">
      <x:alignment horizontal="center" vertical="center" wrapText="1"/>
    </x:xf>
    <x:xf numFmtId="0" fontId="12" fillId="31" borderId="10" xfId="0" applyNumberFormat="1" applyFont="1" applyFill="1" applyBorder="1" applyAlignment="1">
      <x:alignment horizontal="center" vertical="center" wrapText="1"/>
    </x:xf>
    <x:xf numFmtId="0" fontId="25" fillId="31" borderId="10" xfId="0" applyNumberFormat="1" applyFont="1" applyFill="1" applyBorder="1" applyAlignment="1">
      <x:alignment horizontal="center" vertical="center" wrapText="1"/>
    </x:xf>
    <x:xf numFmtId="0" fontId="13" fillId="32" borderId="10" xfId="0" applyNumberFormat="1" applyFont="1" applyFill="1" applyBorder="1" applyAlignment="1">
      <x:alignment horizontal="center" vertical="center" wrapText="1"/>
    </x:xf>
    <x:xf numFmtId="0" fontId="14" fillId="14" borderId="11" xfId="0" applyNumberFormat="1" applyFont="1" applyFill="1" applyBorder="1" applyAlignment="1">
      <x:alignment vertical="top" wrapText="1"/>
    </x:xf>
    <x:xf numFmtId="0" fontId="14" fillId="14" borderId="12" xfId="0" applyNumberFormat="1" applyFont="1" applyFill="1" applyBorder="1" applyAlignment="1">
      <x:alignment vertical="top" wrapText="1"/>
    </x:xf>
    <x:xf numFmtId="0" fontId="15" fillId="14" borderId="15" xfId="0" applyNumberFormat="1" applyFont="1" applyFill="1" applyBorder="1" applyAlignment="1">
      <x:alignment vertical="top" wrapText="1"/>
    </x:xf>
    <x:xf numFmtId="0" fontId="15" fillId="14" borderId="16" xfId="0" applyNumberFormat="1" applyFont="1" applyFill="1" applyBorder="1" applyAlignment="1">
      <x:alignment vertical="top" wrapText="1"/>
    </x:xf>
    <x:xf numFmtId="0" fontId="26" fillId="14" borderId="11" xfId="0" applyNumberFormat="1" applyFont="1" applyFill="1" applyBorder="1" applyAlignment="1">
      <x:alignment vertical="top" wrapText="1"/>
    </x:xf>
    <x:xf numFmtId="0" fontId="26" fillId="14" borderId="12" xfId="0" applyNumberFormat="1" applyFont="1" applyFill="1" applyBorder="1" applyAlignment="1">
      <x:alignment vertical="top" wrapText="1"/>
    </x:xf>
    <x:xf numFmtId="0" fontId="27" fillId="14" borderId="15" xfId="0" applyNumberFormat="1" applyFont="1" applyFill="1" applyBorder="1" applyAlignment="1">
      <x:alignment vertical="top" wrapText="1"/>
    </x:xf>
    <x:xf numFmtId="0" fontId="27" fillId="14" borderId="16" xfId="0" applyNumberFormat="1" applyFont="1" applyFill="1" applyBorder="1" applyAlignment="1">
      <x:alignment vertical="top" wrapText="1"/>
    </x:xf>
    <x:xf numFmtId="0" fontId="26" fillId="14" borderId="17" xfId="0" applyNumberFormat="1" applyFont="1" applyFill="1" applyBorder="1" applyAlignment="1">
      <x:alignment vertical="top" wrapText="1"/>
    </x:xf>
    <x:xf numFmtId="0" fontId="26" fillId="14" borderId="18" xfId="0" applyNumberFormat="1" applyFont="1" applyFill="1" applyBorder="1" applyAlignment="1">
      <x:alignment vertical="top" wrapText="1"/>
    </x:xf>
    <x:xf numFmtId="0" fontId="27" fillId="14" borderId="19" xfId="0" applyNumberFormat="1" applyFont="1" applyFill="1" applyBorder="1" applyAlignment="1">
      <x:alignment vertical="top" wrapText="1"/>
    </x:xf>
    <x:xf numFmtId="0" fontId="27" fillId="14" borderId="20" xfId="0" applyNumberFormat="1" applyFont="1" applyFill="1" applyBorder="1" applyAlignment="1">
      <x:alignment vertical="top" wrapText="1"/>
    </x:xf>
    <x:xf numFmtId="0" fontId="26" fillId="14" borderId="17" xfId="0" applyNumberFormat="1" applyFont="1" applyFill="1" applyBorder="1" applyAlignment="1">
      <x:alignment vertical="center" wrapText="1"/>
    </x:xf>
    <x:xf numFmtId="0" fontId="26" fillId="14" borderId="18" xfId="0" applyNumberFormat="1" applyFont="1" applyFill="1" applyBorder="1" applyAlignment="1">
      <x:alignment vertical="center" wrapText="1"/>
    </x:xf>
    <x:xf numFmtId="0" fontId="27" fillId="14" borderId="19" xfId="0" applyNumberFormat="1" applyFont="1" applyFill="1" applyBorder="1" applyAlignment="1">
      <x:alignment vertical="center" wrapText="1"/>
    </x:xf>
    <x:xf numFmtId="0" fontId="27" fillId="14" borderId="20" xfId="0" applyNumberFormat="1" applyFont="1" applyFill="1" applyBorder="1" applyAlignment="1">
      <x:alignment vertical="center" wrapText="1"/>
    </x:xf>
    <x:xf numFmtId="0" fontId="14" fillId="14" borderId="13" xfId="0" applyNumberFormat="1" applyFont="1" applyFill="1" applyBorder="1" applyAlignment="1">
      <x:alignment vertical="top" wrapText="1"/>
    </x:xf>
    <x:xf numFmtId="0" fontId="14" fillId="14" borderId="14" xfId="0" applyNumberFormat="1" applyFont="1" applyFill="1" applyBorder="1" applyAlignment="1">
      <x:alignment vertical="top" wrapText="1"/>
    </x:xf>
    <x:xf numFmtId="0" fontId="26" fillId="14" borderId="13" xfId="0" applyNumberFormat="1" applyFont="1" applyFill="1" applyBorder="1" applyAlignment="1">
      <x:alignment vertical="top" wrapText="1"/>
    </x:xf>
    <x:xf numFmtId="0" fontId="26" fillId="14" borderId="14" xfId="0" applyNumberFormat="1" applyFont="1" applyFill="1" applyBorder="1" applyAlignment="1">
      <x:alignment vertical="top" wrapText="1"/>
    </x:xf>
    <x:xf numFmtId="0" fontId="26" fillId="14" borderId="21" xfId="0" applyNumberFormat="1" applyFont="1" applyFill="1" applyBorder="1" applyAlignment="1">
      <x:alignment vertical="top" wrapText="1"/>
    </x:xf>
    <x:xf numFmtId="0" fontId="26" fillId="14" borderId="22" xfId="0" applyNumberFormat="1" applyFont="1" applyFill="1" applyBorder="1" applyAlignment="1">
      <x:alignment vertical="top" wrapText="1"/>
    </x:xf>
    <x:xf numFmtId="0" fontId="26" fillId="14" borderId="21" xfId="0" applyNumberFormat="1" applyFont="1" applyFill="1" applyBorder="1" applyAlignment="1">
      <x:alignment vertical="center" wrapText="1"/>
    </x:xf>
    <x:xf numFmtId="0" fontId="26" fillId="14" borderId="22" xfId="0" applyNumberFormat="1" applyFont="1" applyFill="1" applyBorder="1" applyAlignment="1">
      <x:alignment vertical="center" wrapText="1"/>
    </x:xf>
    <x:xf numFmtId="0" fontId="14" fillId="20" borderId="11" xfId="0" applyNumberFormat="1" applyFont="1" applyFill="1" applyBorder="1" applyAlignment="1">
      <x:alignment vertical="top" wrapText="1"/>
    </x:xf>
    <x:xf numFmtId="0" fontId="14" fillId="20" borderId="12" xfId="0" applyNumberFormat="1" applyFont="1" applyFill="1" applyBorder="1" applyAlignment="1">
      <x:alignment vertical="top" wrapText="1"/>
    </x:xf>
    <x:xf numFmtId="0" fontId="28" fillId="20" borderId="0" xfId="0" applyNumberFormat="1" applyFont="1" applyFill="1" applyBorder="1" applyAlignment="1">
      <x:alignment vertical="top"/>
    </x:xf>
    <x:xf numFmtId="0" fontId="29" fillId="20" borderId="11" xfId="0" applyNumberFormat="1" applyFont="1" applyFill="1" applyBorder="1" applyAlignment="1">
      <x:alignment vertical="top" wrapText="1"/>
    </x:xf>
    <x:xf numFmtId="0" fontId="29" fillId="20" borderId="12" xfId="0" applyNumberFormat="1" applyFont="1" applyFill="1" applyBorder="1" applyAlignment="1">
      <x:alignment vertical="top" wrapText="1"/>
    </x:xf>
    <x:xf numFmtId="0" fontId="28" fillId="20" borderId="21" xfId="0" applyNumberFormat="1" applyFont="1" applyFill="1" applyBorder="1" applyAlignment="1">
      <x:alignment vertical="top"/>
    </x:xf>
    <x:xf numFmtId="0" fontId="28" fillId="20" borderId="22" xfId="0" applyNumberFormat="1" applyFont="1" applyFill="1" applyBorder="1" applyAlignment="1">
      <x:alignment vertical="top"/>
    </x:xf>
    <x:xf numFmtId="0" fontId="29" fillId="20" borderId="23" xfId="0" applyNumberFormat="1" applyFont="1" applyFill="1" applyBorder="1" applyAlignment="1">
      <x:alignment vertical="top" wrapText="1"/>
    </x:xf>
    <x:xf numFmtId="0" fontId="29" fillId="20" borderId="24" xfId="0" applyNumberFormat="1" applyFont="1" applyFill="1" applyBorder="1" applyAlignment="1">
      <x:alignment vertical="top" wrapText="1"/>
    </x:xf>
    <x:xf numFmtId="0" fontId="28" fillId="20" borderId="21" xfId="0" applyNumberFormat="1" applyFont="1" applyFill="1" applyBorder="1" applyAlignment="1">
      <x:alignment vertical="top" wrapText="1"/>
    </x:xf>
    <x:xf numFmtId="0" fontId="28" fillId="20" borderId="22" xfId="0" applyNumberFormat="1" applyFont="1" applyFill="1" applyBorder="1" applyAlignment="1">
      <x:alignment vertical="top" wrapText="1"/>
    </x:xf>
    <x:xf numFmtId="0" fontId="28" fillId="20" borderId="21" xfId="0" applyNumberFormat="1" applyFont="1" applyFill="1" applyBorder="1" applyAlignment="1">
      <x:alignment vertical="center" wrapText="1"/>
    </x:xf>
    <x:xf numFmtId="0" fontId="28" fillId="20" borderId="22" xfId="0" applyNumberFormat="1" applyFont="1" applyFill="1" applyBorder="1" applyAlignment="1">
      <x:alignment vertical="center" wrapText="1"/>
    </x:xf>
    <x:xf numFmtId="0" fontId="29" fillId="20" borderId="23" xfId="0" applyNumberFormat="1" applyFont="1" applyFill="1" applyBorder="1" applyAlignment="1">
      <x:alignment vertical="center" wrapText="1"/>
    </x:xf>
    <x:xf numFmtId="0" fontId="29" fillId="20" borderId="24" xfId="0" applyNumberFormat="1" applyFont="1" applyFill="1" applyBorder="1" applyAlignment="1">
      <x:alignment vertical="center" wrapText="1"/>
    </x:xf>
    <x:xf numFmtId="0" fontId="14" fillId="20" borderId="13" xfId="0" applyNumberFormat="1" applyFont="1" applyFill="1" applyBorder="1" applyAlignment="1">
      <x:alignment vertical="top" wrapText="1"/>
    </x:xf>
    <x:xf numFmtId="0" fontId="14" fillId="20" borderId="14" xfId="0" applyNumberFormat="1" applyFont="1" applyFill="1" applyBorder="1" applyAlignment="1">
      <x:alignment vertical="top" wrapText="1"/>
    </x:xf>
    <x:xf numFmtId="0" fontId="29" fillId="20" borderId="13" xfId="0" applyNumberFormat="1" applyFont="1" applyFill="1" applyBorder="1" applyAlignment="1">
      <x:alignment vertical="top" wrapText="1"/>
    </x:xf>
    <x:xf numFmtId="0" fontId="29" fillId="20" borderId="14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/>
    </x:xf>
    <x:xf numFmtId="0" fontId="27" fillId="14" borderId="0" xfId="0" applyNumberFormat="1" applyFont="1" applyFill="1" applyBorder="1" applyAlignment="1">
      <x:alignment vertical="top"/>
    </x:xf>
    <x:xf numFmtId="0" fontId="27" fillId="14" borderId="25" xfId="0" applyNumberFormat="1" applyFont="1" applyFill="1" applyBorder="1" applyAlignment="1">
      <x:alignment vertical="top" wrapText="1"/>
    </x:xf>
    <x:xf numFmtId="0" fontId="27" fillId="14" borderId="26" xfId="0" applyNumberFormat="1" applyFont="1" applyFill="1" applyBorder="1" applyAlignment="1">
      <x:alignment vertical="top" wrapText="1"/>
    </x:xf>
    <x:xf numFmtId="0" fontId="27" fillId="14" borderId="19" xfId="0" applyNumberFormat="1" applyFont="1" applyFill="1" applyBorder="1" applyAlignment="1">
      <x:alignment vertical="top"/>
    </x:xf>
    <x:xf numFmtId="0" fontId="27" fillId="14" borderId="20" xfId="0" applyNumberFormat="1" applyFont="1" applyFill="1" applyBorder="1" applyAlignment="1">
      <x:alignment vertical="top"/>
    </x:xf>
    <x:xf numFmtId="0" fontId="27" fillId="14" borderId="25" xfId="0" applyNumberFormat="1" applyFont="1" applyFill="1" applyBorder="1" applyAlignment="1">
      <x:alignment vertical="center" wrapText="1"/>
    </x:xf>
    <x:xf numFmtId="0" fontId="27" fillId="14" borderId="26" xfId="0" applyNumberFormat="1" applyFont="1" applyFill="1" applyBorder="1" applyAlignment="1">
      <x:alignment vertical="center" wrapText="1"/>
    </x:xf>
    <x:xf numFmtId="0" fontId="28" fillId="20" borderId="15" xfId="0" applyNumberFormat="1" applyFont="1" applyFill="1" applyBorder="1" applyAlignment="1">
      <x:alignment vertical="top" wrapText="1"/>
    </x:xf>
    <x:xf numFmtId="0" fontId="28" fillId="20" borderId="16" xfId="0" applyNumberFormat="1" applyFont="1" applyFill="1" applyBorder="1" applyAlignment="1">
      <x:alignment vertical="top" wrapText="1"/>
    </x:xf>
    <x:xf numFmtId="0" fontId="29" fillId="20" borderId="17" xfId="0" applyNumberFormat="1" applyFont="1" applyFill="1" applyBorder="1" applyAlignment="1">
      <x:alignment vertical="top" wrapText="1"/>
    </x:xf>
    <x:xf numFmtId="0" fontId="29" fillId="20" borderId="18" xfId="0" applyNumberFormat="1" applyFont="1" applyFill="1" applyBorder="1" applyAlignment="1">
      <x:alignment vertical="top" wrapText="1"/>
    </x:xf>
    <x:xf numFmtId="0" fontId="28" fillId="20" borderId="19" xfId="0" applyNumberFormat="1" applyFont="1" applyFill="1" applyBorder="1" applyAlignment="1">
      <x:alignment vertical="top" wrapText="1"/>
    </x:xf>
    <x:xf numFmtId="0" fontId="28" fillId="20" borderId="20" xfId="0" applyNumberFormat="1" applyFont="1" applyFill="1" applyBorder="1" applyAlignment="1">
      <x:alignment vertical="top" wrapText="1"/>
    </x:xf>
    <x:xf numFmtId="0" fontId="29" fillId="20" borderId="17" xfId="0" applyNumberFormat="1" applyFont="1" applyFill="1" applyBorder="1" applyAlignment="1">
      <x:alignment vertical="center" wrapText="1"/>
    </x:xf>
    <x:xf numFmtId="0" fontId="29" fillId="20" borderId="18" xfId="0" applyNumberFormat="1" applyFont="1" applyFill="1" applyBorder="1" applyAlignment="1">
      <x:alignment vertical="center" wrapText="1"/>
    </x:xf>
    <x:xf numFmtId="0" fontId="28" fillId="20" borderId="19" xfId="0" applyNumberFormat="1" applyFont="1" applyFill="1" applyBorder="1" applyAlignment="1">
      <x:alignment vertical="center" wrapText="1"/>
    </x:xf>
    <x:xf numFmtId="0" fontId="28" fillId="20" borderId="20" xfId="0" applyNumberFormat="1" applyFont="1" applyFill="1" applyBorder="1" applyAlignment="1">
      <x:alignment vertical="center" wrapText="1"/>
    </x:xf>
    <x:xf numFmtId="0" fontId="29" fillId="20" borderId="21" xfId="0" applyNumberFormat="1" applyFont="1" applyFill="1" applyBorder="1" applyAlignment="1">
      <x:alignment vertical="top" wrapText="1"/>
    </x:xf>
    <x:xf numFmtId="0" fontId="29" fillId="20" borderId="22" xfId="0" applyNumberFormat="1" applyFont="1" applyFill="1" applyBorder="1" applyAlignment="1">
      <x:alignment vertical="top" wrapText="1"/>
    </x:xf>
    <x:xf numFmtId="0" fontId="29" fillId="20" borderId="21" xfId="0" applyNumberFormat="1" applyFont="1" applyFill="1" applyBorder="1" applyAlignment="1">
      <x:alignment vertical="center" wrapText="1"/>
    </x:xf>
    <x:xf numFmtId="0" fontId="29" fillId="20" borderId="22" xfId="0" applyNumberFormat="1" applyFont="1" applyFill="1" applyBorder="1" applyAlignment="1">
      <x:alignment vertical="center" wrapText="1"/>
    </x:xf>
    <x:xf numFmtId="0" fontId="27" fillId="14" borderId="21" xfId="0" applyNumberFormat="1" applyFont="1" applyFill="1" applyBorder="1" applyAlignment="1">
      <x:alignment vertical="top"/>
    </x:xf>
    <x:xf numFmtId="0" fontId="27" fillId="14" borderId="22" xfId="0" applyNumberFormat="1" applyFont="1" applyFill="1" applyBorder="1" applyAlignment="1">
      <x:alignment vertical="top"/>
    </x:xf>
    <x:xf numFmtId="0" fontId="26" fillId="14" borderId="23" xfId="0" applyNumberFormat="1" applyFont="1" applyFill="1" applyBorder="1" applyAlignment="1">
      <x:alignment vertical="top" wrapText="1"/>
    </x:xf>
    <x:xf numFmtId="0" fontId="26" fillId="14" borderId="24" xfId="0" applyNumberFormat="1" applyFont="1" applyFill="1" applyBorder="1" applyAlignment="1">
      <x:alignment vertical="top" wrapText="1"/>
    </x:xf>
    <x:xf numFmtId="0" fontId="27" fillId="14" borderId="21" xfId="0" applyNumberFormat="1" applyFont="1" applyFill="1" applyBorder="1" applyAlignment="1">
      <x:alignment vertical="top" wrapText="1"/>
    </x:xf>
    <x:xf numFmtId="0" fontId="27" fillId="14" borderId="22" xfId="0" applyNumberFormat="1" applyFont="1" applyFill="1" applyBorder="1" applyAlignment="1">
      <x:alignment vertical="top" wrapText="1"/>
    </x:xf>
    <x:xf numFmtId="0" fontId="27" fillId="14" borderId="21" xfId="0" applyNumberFormat="1" applyFont="1" applyFill="1" applyBorder="1" applyAlignment="1">
      <x:alignment vertical="center" wrapText="1"/>
    </x:xf>
    <x:xf numFmtId="0" fontId="27" fillId="14" borderId="22" xfId="0" applyNumberFormat="1" applyFont="1" applyFill="1" applyBorder="1" applyAlignment="1">
      <x:alignment vertical="center" wrapText="1"/>
    </x:xf>
    <x:xf numFmtId="0" fontId="26" fillId="14" borderId="23" xfId="0" applyNumberFormat="1" applyFont="1" applyFill="1" applyBorder="1" applyAlignment="1">
      <x:alignment vertical="center" wrapText="1"/>
    </x:xf>
    <x:xf numFmtId="0" fontId="26" fillId="14" borderId="24" xfId="0" applyNumberFormat="1" applyFont="1" applyFill="1" applyBorder="1" applyAlignment="1">
      <x:alignment vertical="center" wrapText="1"/>
    </x:xf>
    <x:xf numFmtId="0" fontId="28" fillId="20" borderId="25" xfId="0" applyNumberFormat="1" applyFont="1" applyFill="1" applyBorder="1" applyAlignment="1">
      <x:alignment vertical="top" wrapText="1"/>
    </x:xf>
    <x:xf numFmtId="0" fontId="28" fillId="20" borderId="26" xfId="0" applyNumberFormat="1" applyFont="1" applyFill="1" applyBorder="1" applyAlignment="1">
      <x:alignment vertical="top" wrapText="1"/>
    </x:xf>
    <x:xf numFmtId="0" fontId="28" fillId="20" borderId="19" xfId="0" applyNumberFormat="1" applyFont="1" applyFill="1" applyBorder="1" applyAlignment="1">
      <x:alignment vertical="top"/>
    </x:xf>
    <x:xf numFmtId="0" fontId="28" fillId="20" borderId="20" xfId="0" applyNumberFormat="1" applyFont="1" applyFill="1" applyBorder="1" applyAlignment="1">
      <x:alignment vertical="top"/>
    </x:xf>
    <x:xf numFmtId="0" fontId="28" fillId="20" borderId="25" xfId="0" applyNumberFormat="1" applyFont="1" applyFill="1" applyBorder="1" applyAlignment="1">
      <x:alignment vertical="center" wrapText="1"/>
    </x:xf>
    <x:xf numFmtId="0" fontId="28" fillId="20" borderId="26" xfId="0" applyNumberFormat="1" applyFont="1" applyFill="1" applyBorder="1" applyAlignment="1">
      <x:alignment vertical="center" wrapText="1"/>
    </x:xf>
    <x:xf numFmtId="0" fontId="17" fillId="29" borderId="11" xfId="0" applyNumberFormat="1" applyFont="1" applyFill="1" applyBorder="1" applyAlignment="1">
      <x:alignment vertical="top" wrapText="1"/>
    </x:xf>
    <x:xf numFmtId="0" fontId="17" fillId="29" borderId="12" xfId="0" applyNumberFormat="1" applyFont="1" applyFill="1" applyBorder="1" applyAlignment="1">
      <x:alignment vertical="top" wrapText="1"/>
    </x:xf>
    <x:xf numFmtId="0" fontId="15" fillId="29" borderId="15" xfId="0" applyNumberFormat="1" applyFont="1" applyFill="1" applyBorder="1" applyAlignment="1">
      <x:alignment vertical="top" wrapText="1"/>
    </x:xf>
    <x:xf numFmtId="0" fontId="15" fillId="29" borderId="16" xfId="0" applyNumberFormat="1" applyFont="1" applyFill="1" applyBorder="1" applyAlignment="1">
      <x:alignment vertical="top" wrapText="1"/>
    </x:xf>
    <x:xf numFmtId="0" fontId="30" fillId="29" borderId="11" xfId="0" applyNumberFormat="1" applyFont="1" applyFill="1" applyBorder="1" applyAlignment="1">
      <x:alignment vertical="top" wrapText="1"/>
    </x:xf>
    <x:xf numFmtId="0" fontId="30" fillId="29" borderId="12" xfId="0" applyNumberFormat="1" applyFont="1" applyFill="1" applyBorder="1" applyAlignment="1">
      <x:alignment vertical="top" wrapText="1"/>
    </x:xf>
    <x:xf numFmtId="0" fontId="31" fillId="29" borderId="15" xfId="0" applyNumberFormat="1" applyFont="1" applyFill="1" applyBorder="1" applyAlignment="1">
      <x:alignment vertical="top" wrapText="1"/>
    </x:xf>
    <x:xf numFmtId="0" fontId="31" fillId="29" borderId="16" xfId="0" applyNumberFormat="1" applyFont="1" applyFill="1" applyBorder="1" applyAlignment="1">
      <x:alignment vertical="top" wrapText="1"/>
    </x:xf>
    <x:xf numFmtId="0" fontId="30" fillId="29" borderId="17" xfId="0" applyNumberFormat="1" applyFont="1" applyFill="1" applyBorder="1" applyAlignment="1">
      <x:alignment vertical="top" wrapText="1"/>
    </x:xf>
    <x:xf numFmtId="0" fontId="30" fillId="29" borderId="18" xfId="0" applyNumberFormat="1" applyFont="1" applyFill="1" applyBorder="1" applyAlignment="1">
      <x:alignment vertical="top" wrapText="1"/>
    </x:xf>
    <x:xf numFmtId="0" fontId="31" fillId="29" borderId="19" xfId="0" applyNumberFormat="1" applyFont="1" applyFill="1" applyBorder="1" applyAlignment="1">
      <x:alignment vertical="top" wrapText="1"/>
    </x:xf>
    <x:xf numFmtId="0" fontId="31" fillId="29" borderId="20" xfId="0" applyNumberFormat="1" applyFont="1" applyFill="1" applyBorder="1" applyAlignment="1">
      <x:alignment vertical="top" wrapText="1"/>
    </x:xf>
    <x:xf numFmtId="0" fontId="30" fillId="29" borderId="17" xfId="0" applyNumberFormat="1" applyFont="1" applyFill="1" applyBorder="1" applyAlignment="1">
      <x:alignment vertical="center" wrapText="1"/>
    </x:xf>
    <x:xf numFmtId="0" fontId="30" fillId="29" borderId="18" xfId="0" applyNumberFormat="1" applyFont="1" applyFill="1" applyBorder="1" applyAlignment="1">
      <x:alignment vertical="center" wrapText="1"/>
    </x:xf>
    <x:xf numFmtId="0" fontId="31" fillId="29" borderId="19" xfId="0" applyNumberFormat="1" applyFont="1" applyFill="1" applyBorder="1" applyAlignment="1">
      <x:alignment vertical="center" wrapText="1"/>
    </x:xf>
    <x:xf numFmtId="0" fontId="31" fillId="29" borderId="20" xfId="0" applyNumberFormat="1" applyFont="1" applyFill="1" applyBorder="1" applyAlignment="1">
      <x:alignment vertical="center" wrapText="1"/>
    </x:xf>
    <x:xf numFmtId="0" fontId="17" fillId="29" borderId="13" xfId="0" applyNumberFormat="1" applyFont="1" applyFill="1" applyBorder="1" applyAlignment="1">
      <x:alignment vertical="top" wrapText="1"/>
    </x:xf>
    <x:xf numFmtId="0" fontId="17" fillId="29" borderId="14" xfId="0" applyNumberFormat="1" applyFont="1" applyFill="1" applyBorder="1" applyAlignment="1">
      <x:alignment vertical="top" wrapText="1"/>
    </x:xf>
    <x:xf numFmtId="0" fontId="30" fillId="29" borderId="13" xfId="0" applyNumberFormat="1" applyFont="1" applyFill="1" applyBorder="1" applyAlignment="1">
      <x:alignment vertical="top" wrapText="1"/>
    </x:xf>
    <x:xf numFmtId="0" fontId="30" fillId="29" borderId="14" xfId="0" applyNumberFormat="1" applyFont="1" applyFill="1" applyBorder="1" applyAlignment="1">
      <x:alignment vertical="top" wrapText="1"/>
    </x:xf>
    <x:xf numFmtId="0" fontId="30" fillId="29" borderId="21" xfId="0" applyNumberFormat="1" applyFont="1" applyFill="1" applyBorder="1" applyAlignment="1">
      <x:alignment vertical="top" wrapText="1"/>
    </x:xf>
    <x:xf numFmtId="0" fontId="30" fillId="29" borderId="22" xfId="0" applyNumberFormat="1" applyFont="1" applyFill="1" applyBorder="1" applyAlignment="1">
      <x:alignment vertical="top" wrapText="1"/>
    </x:xf>
    <x:xf numFmtId="0" fontId="30" fillId="29" borderId="21" xfId="0" applyNumberFormat="1" applyFont="1" applyFill="1" applyBorder="1" applyAlignment="1">
      <x:alignment vertical="center" wrapText="1"/>
    </x:xf>
    <x:xf numFmtId="0" fontId="30" fillId="29" borderId="22" xfId="0" applyNumberFormat="1" applyFont="1" applyFill="1" applyBorder="1" applyAlignment="1">
      <x:alignment vertical="center" wrapText="1"/>
    </x:xf>
    <x:xf numFmtId="0" fontId="17" fillId="20" borderId="11" xfId="0" applyNumberFormat="1" applyFont="1" applyFill="1" applyBorder="1" applyAlignment="1">
      <x:alignment vertical="top" wrapText="1"/>
    </x:xf>
    <x:xf numFmtId="0" fontId="17" fillId="20" borderId="12" xfId="0" applyNumberFormat="1" applyFont="1" applyFill="1" applyBorder="1" applyAlignment="1">
      <x:alignment vertical="top" wrapText="1"/>
    </x:xf>
    <x:xf numFmtId="0" fontId="17" fillId="20" borderId="13" xfId="0" applyNumberFormat="1" applyFont="1" applyFill="1" applyBorder="1" applyAlignment="1">
      <x:alignment vertical="top" wrapText="1"/>
    </x:xf>
    <x:xf numFmtId="0" fontId="17" fillId="20" borderId="14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 applyAlignment="1">
      <x:alignment vertical="top"/>
    </x:xf>
    <x:xf numFmtId="0" fontId="31" fillId="29" borderId="0" xfId="0" applyNumberFormat="1" applyFont="1" applyFill="1" applyBorder="1" applyAlignment="1">
      <x:alignment vertical="top"/>
    </x:xf>
    <x:xf numFmtId="0" fontId="31" fillId="29" borderId="25" xfId="0" applyNumberFormat="1" applyFont="1" applyFill="1" applyBorder="1" applyAlignment="1">
      <x:alignment vertical="top" wrapText="1"/>
    </x:xf>
    <x:xf numFmtId="0" fontId="31" fillId="29" borderId="26" xfId="0" applyNumberFormat="1" applyFont="1" applyFill="1" applyBorder="1" applyAlignment="1">
      <x:alignment vertical="top" wrapText="1"/>
    </x:xf>
    <x:xf numFmtId="0" fontId="31" fillId="29" borderId="19" xfId="0" applyNumberFormat="1" applyFont="1" applyFill="1" applyBorder="1" applyAlignment="1">
      <x:alignment vertical="top"/>
    </x:xf>
    <x:xf numFmtId="0" fontId="31" fillId="29" borderId="20" xfId="0" applyNumberFormat="1" applyFont="1" applyFill="1" applyBorder="1" applyAlignment="1">
      <x:alignment vertical="top"/>
    </x:xf>
    <x:xf numFmtId="0" fontId="31" fillId="29" borderId="25" xfId="0" applyNumberFormat="1" applyFont="1" applyFill="1" applyBorder="1" applyAlignment="1">
      <x:alignment vertical="center" wrapText="1"/>
    </x:xf>
    <x:xf numFmtId="0" fontId="31" fillId="29" borderId="26" xfId="0" applyNumberFormat="1" applyFont="1" applyFill="1" applyBorder="1" applyAlignment="1">
      <x:alignment vertical="center" wrapText="1"/>
    </x:xf>
    <x:xf numFmtId="0" fontId="31" fillId="29" borderId="21" xfId="0" applyNumberFormat="1" applyFont="1" applyFill="1" applyBorder="1" applyAlignment="1">
      <x:alignment vertical="top"/>
    </x:xf>
    <x:xf numFmtId="0" fontId="31" fillId="29" borderId="22" xfId="0" applyNumberFormat="1" applyFont="1" applyFill="1" applyBorder="1" applyAlignment="1">
      <x:alignment vertical="top"/>
    </x:xf>
    <x:xf numFmtId="0" fontId="31" fillId="29" borderId="21" xfId="0" applyNumberFormat="1" applyFont="1" applyFill="1" applyBorder="1" applyAlignment="1">
      <x:alignment vertical="top" wrapText="1"/>
    </x:xf>
    <x:xf numFmtId="0" fontId="31" fillId="29" borderId="22" xfId="0" applyNumberFormat="1" applyFont="1" applyFill="1" applyBorder="1" applyAlignment="1">
      <x:alignment vertical="top" wrapText="1"/>
    </x:xf>
    <x:xf numFmtId="0" fontId="31" fillId="29" borderId="21" xfId="0" applyNumberFormat="1" applyFont="1" applyFill="1" applyBorder="1" applyAlignment="1">
      <x:alignment vertical="center" wrapText="1"/>
    </x:xf>
    <x:xf numFmtId="0" fontId="31" fillId="29" borderId="22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top"/>
    </x:xf>
    <x:xf numFmtId="0" fontId="32" fillId="30" borderId="0" xfId="0" applyNumberFormat="1" applyFont="1" applyFill="1" applyBorder="1" applyAlignment="1">
      <x:alignment vertical="top"/>
    </x:xf>
    <x:xf numFmtId="0" fontId="32" fillId="30" borderId="21" xfId="0" applyNumberFormat="1" applyFont="1" applyFill="1" applyBorder="1" applyAlignment="1">
      <x:alignment vertical="top"/>
    </x:xf>
    <x:xf numFmtId="0" fontId="32" fillId="30" borderId="22" xfId="0" applyNumberFormat="1" applyFont="1" applyFill="1" applyBorder="1" applyAlignment="1">
      <x:alignment vertical="top"/>
    </x:xf>
    <x:xf numFmtId="0" fontId="32" fillId="30" borderId="19" xfId="0" applyNumberFormat="1" applyFont="1" applyFill="1" applyBorder="1" applyAlignment="1">
      <x:alignment vertical="top"/>
    </x:xf>
    <x:xf numFmtId="0" fontId="32" fillId="30" borderId="20" xfId="0" applyNumberFormat="1" applyFont="1" applyFill="1" applyBorder="1" applyAlignment="1">
      <x:alignment vertical="top"/>
    </x:xf>
    <x:xf numFmtId="0" fontId="32" fillId="30" borderId="21" xfId="0" applyNumberFormat="1" applyFont="1" applyFill="1" applyBorder="1" applyAlignment="1">
      <x:alignment vertical="top" wrapText="1"/>
    </x:xf>
    <x:xf numFmtId="0" fontId="32" fillId="30" borderId="22" xfId="0" applyNumberFormat="1" applyFont="1" applyFill="1" applyBorder="1" applyAlignment="1">
      <x:alignment vertical="top" wrapText="1"/>
    </x:xf>
    <x:xf numFmtId="0" fontId="32" fillId="30" borderId="19" xfId="0" applyNumberFormat="1" applyFont="1" applyFill="1" applyBorder="1" applyAlignment="1">
      <x:alignment vertical="top" wrapText="1"/>
    </x:xf>
    <x:xf numFmtId="0" fontId="32" fillId="30" borderId="20" xfId="0" applyNumberFormat="1" applyFont="1" applyFill="1" applyBorder="1" applyAlignment="1">
      <x:alignment vertical="top" wrapText="1"/>
    </x:xf>
    <x:xf numFmtId="0" fontId="32" fillId="30" borderId="21" xfId="0" applyNumberFormat="1" applyFont="1" applyFill="1" applyBorder="1" applyAlignment="1">
      <x:alignment vertical="center" wrapText="1"/>
    </x:xf>
    <x:xf numFmtId="0" fontId="32" fillId="30" borderId="22" xfId="0" applyNumberFormat="1" applyFont="1" applyFill="1" applyBorder="1" applyAlignment="1">
      <x:alignment vertical="center" wrapText="1"/>
    </x:xf>
    <x:xf numFmtId="0" fontId="32" fillId="30" borderId="19" xfId="0" applyNumberFormat="1" applyFont="1" applyFill="1" applyBorder="1" applyAlignment="1">
      <x:alignment vertical="center" wrapText="1"/>
    </x:xf>
    <x:xf numFmtId="0" fontId="32" fillId="30" borderId="2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top"/>
    </x:xf>
    <x:xf numFmtId="0" fontId="33" fillId="16" borderId="0" xfId="0" applyNumberFormat="1" applyFont="1" applyFill="1" applyBorder="1" applyAlignment="1">
      <x:alignment vertical="top"/>
    </x:xf>
    <x:xf numFmtId="0" fontId="33" fillId="16" borderId="21" xfId="0" applyNumberFormat="1" applyFont="1" applyFill="1" applyBorder="1" applyAlignment="1">
      <x:alignment vertical="top"/>
    </x:xf>
    <x:xf numFmtId="0" fontId="33" fillId="16" borderId="22" xfId="0" applyNumberFormat="1" applyFont="1" applyFill="1" applyBorder="1" applyAlignment="1">
      <x:alignment vertical="top"/>
    </x:xf>
    <x:xf numFmtId="0" fontId="33" fillId="16" borderId="19" xfId="0" applyNumberFormat="1" applyFont="1" applyFill="1" applyBorder="1" applyAlignment="1">
      <x:alignment vertical="top"/>
    </x:xf>
    <x:xf numFmtId="0" fontId="33" fillId="16" borderId="20" xfId="0" applyNumberFormat="1" applyFont="1" applyFill="1" applyBorder="1" applyAlignment="1">
      <x:alignment vertical="top"/>
    </x:xf>
    <x:xf numFmtId="0" fontId="33" fillId="16" borderId="21" xfId="0" applyNumberFormat="1" applyFont="1" applyFill="1" applyBorder="1" applyAlignment="1">
      <x:alignment vertical="top" wrapText="1"/>
    </x:xf>
    <x:xf numFmtId="0" fontId="33" fillId="16" borderId="22" xfId="0" applyNumberFormat="1" applyFont="1" applyFill="1" applyBorder="1" applyAlignment="1">
      <x:alignment vertical="top" wrapText="1"/>
    </x:xf>
    <x:xf numFmtId="0" fontId="33" fillId="16" borderId="19" xfId="0" applyNumberFormat="1" applyFont="1" applyFill="1" applyBorder="1" applyAlignment="1">
      <x:alignment vertical="top" wrapText="1"/>
    </x:xf>
    <x:xf numFmtId="0" fontId="33" fillId="16" borderId="20" xfId="0" applyNumberFormat="1" applyFont="1" applyFill="1" applyBorder="1" applyAlignment="1">
      <x:alignment vertical="top" wrapText="1"/>
    </x:xf>
    <x:xf numFmtId="0" fontId="33" fillId="16" borderId="21" xfId="0" applyNumberFormat="1" applyFont="1" applyFill="1" applyBorder="1" applyAlignment="1">
      <x:alignment vertical="center" wrapText="1"/>
    </x:xf>
    <x:xf numFmtId="0" fontId="33" fillId="16" borderId="22" xfId="0" applyNumberFormat="1" applyFont="1" applyFill="1" applyBorder="1" applyAlignment="1">
      <x:alignment vertical="center" wrapText="1"/>
    </x:xf>
    <x:xf numFmtId="0" fontId="33" fillId="16" borderId="19" xfId="0" applyNumberFormat="1" applyFont="1" applyFill="1" applyBorder="1" applyAlignment="1">
      <x:alignment vertical="center" wrapText="1"/>
    </x:xf>
    <x:xf numFmtId="0" fontId="33" fillId="16" borderId="2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top"/>
    </x:xf>
    <x:xf numFmtId="0" fontId="34" fillId="31" borderId="0" xfId="0" applyNumberFormat="1" applyFont="1" applyFill="1" applyBorder="1" applyAlignment="1">
      <x:alignment vertical="top"/>
    </x:xf>
    <x:xf numFmtId="0" fontId="34" fillId="31" borderId="21" xfId="0" applyNumberFormat="1" applyFont="1" applyFill="1" applyBorder="1" applyAlignment="1">
      <x:alignment vertical="top"/>
    </x:xf>
    <x:xf numFmtId="0" fontId="34" fillId="31" borderId="22" xfId="0" applyNumberFormat="1" applyFont="1" applyFill="1" applyBorder="1" applyAlignment="1">
      <x:alignment vertical="top"/>
    </x:xf>
    <x:xf numFmtId="0" fontId="34" fillId="31" borderId="19" xfId="0" applyNumberFormat="1" applyFont="1" applyFill="1" applyBorder="1" applyAlignment="1">
      <x:alignment vertical="top"/>
    </x:xf>
    <x:xf numFmtId="0" fontId="34" fillId="31" borderId="20" xfId="0" applyNumberFormat="1" applyFont="1" applyFill="1" applyBorder="1" applyAlignment="1">
      <x:alignment vertical="top"/>
    </x:xf>
    <x:xf numFmtId="0" fontId="34" fillId="31" borderId="21" xfId="0" applyNumberFormat="1" applyFont="1" applyFill="1" applyBorder="1" applyAlignment="1">
      <x:alignment vertical="top" wrapText="1"/>
    </x:xf>
    <x:xf numFmtId="0" fontId="34" fillId="31" borderId="22" xfId="0" applyNumberFormat="1" applyFont="1" applyFill="1" applyBorder="1" applyAlignment="1">
      <x:alignment vertical="top" wrapText="1"/>
    </x:xf>
    <x:xf numFmtId="0" fontId="34" fillId="31" borderId="19" xfId="0" applyNumberFormat="1" applyFont="1" applyFill="1" applyBorder="1" applyAlignment="1">
      <x:alignment vertical="top" wrapText="1"/>
    </x:xf>
    <x:xf numFmtId="0" fontId="34" fillId="31" borderId="20" xfId="0" applyNumberFormat="1" applyFont="1" applyFill="1" applyBorder="1" applyAlignment="1">
      <x:alignment vertical="top" wrapText="1"/>
    </x:xf>
    <x:xf numFmtId="0" fontId="34" fillId="31" borderId="21" xfId="0" applyNumberFormat="1" applyFont="1" applyFill="1" applyBorder="1" applyAlignment="1">
      <x:alignment vertical="center" wrapText="1"/>
    </x:xf>
    <x:xf numFmtId="0" fontId="34" fillId="31" borderId="22" xfId="0" applyNumberFormat="1" applyFont="1" applyFill="1" applyBorder="1" applyAlignment="1">
      <x:alignment vertical="center" wrapText="1"/>
    </x:xf>
    <x:xf numFmtId="0" fontId="34" fillId="31" borderId="19" xfId="0" applyNumberFormat="1" applyFont="1" applyFill="1" applyBorder="1" applyAlignment="1">
      <x:alignment vertical="center" wrapText="1"/>
    </x:xf>
    <x:xf numFmtId="0" fontId="34" fillId="31" borderId="2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 applyAlignment="1">
      <x:alignment vertical="top"/>
    </x:xf>
    <x:xf numFmtId="0" fontId="35" fillId="32" borderId="0" xfId="0" applyNumberFormat="1" applyFont="1" applyFill="1" applyBorder="1" applyAlignment="1">
      <x:alignment vertical="top"/>
    </x:xf>
    <x:xf numFmtId="0" fontId="35" fillId="32" borderId="21" xfId="0" applyNumberFormat="1" applyFont="1" applyFill="1" applyBorder="1" applyAlignment="1">
      <x:alignment vertical="top"/>
    </x:xf>
    <x:xf numFmtId="0" fontId="35" fillId="32" borderId="22" xfId="0" applyNumberFormat="1" applyFont="1" applyFill="1" applyBorder="1" applyAlignment="1">
      <x:alignment vertical="top"/>
    </x:xf>
    <x:xf numFmtId="0" fontId="35" fillId="32" borderId="19" xfId="0" applyNumberFormat="1" applyFont="1" applyFill="1" applyBorder="1" applyAlignment="1">
      <x:alignment vertical="top"/>
    </x:xf>
    <x:xf numFmtId="0" fontId="35" fillId="32" borderId="20" xfId="0" applyNumberFormat="1" applyFont="1" applyFill="1" applyBorder="1" applyAlignment="1">
      <x:alignment vertical="top"/>
    </x:xf>
    <x:xf numFmtId="0" fontId="35" fillId="32" borderId="21" xfId="0" applyNumberFormat="1" applyFont="1" applyFill="1" applyBorder="1" applyAlignment="1">
      <x:alignment vertical="top" wrapText="1"/>
    </x:xf>
    <x:xf numFmtId="0" fontId="35" fillId="32" borderId="22" xfId="0" applyNumberFormat="1" applyFont="1" applyFill="1" applyBorder="1" applyAlignment="1">
      <x:alignment vertical="top" wrapText="1"/>
    </x:xf>
    <x:xf numFmtId="0" fontId="35" fillId="32" borderId="19" xfId="0" applyNumberFormat="1" applyFont="1" applyFill="1" applyBorder="1" applyAlignment="1">
      <x:alignment vertical="top" wrapText="1"/>
    </x:xf>
    <x:xf numFmtId="0" fontId="35" fillId="32" borderId="20" xfId="0" applyNumberFormat="1" applyFont="1" applyFill="1" applyBorder="1" applyAlignment="1">
      <x:alignment vertical="top" wrapText="1"/>
    </x:xf>
    <x:xf numFmtId="0" fontId="35" fillId="32" borderId="21" xfId="0" applyNumberFormat="1" applyFont="1" applyFill="1" applyBorder="1" applyAlignment="1">
      <x:alignment vertical="center" wrapText="1"/>
    </x:xf>
    <x:xf numFmtId="0" fontId="35" fillId="32" borderId="22" xfId="0" applyNumberFormat="1" applyFont="1" applyFill="1" applyBorder="1" applyAlignment="1">
      <x:alignment vertical="center" wrapText="1"/>
    </x:xf>
    <x:xf numFmtId="0" fontId="35" fillId="32" borderId="19" xfId="0" applyNumberFormat="1" applyFont="1" applyFill="1" applyBorder="1" applyAlignment="1">
      <x:alignment vertical="center" wrapText="1"/>
    </x:xf>
    <x:xf numFmtId="0" fontId="35" fillId="32" borderId="20" xfId="0" applyNumberFormat="1" applyFont="1" applyFill="1" applyBorder="1" applyAlignment="1">
      <x:alignment vertical="center" wrapText="1"/>
    </x:xf>
    <x:xf numFmtId="0" fontId="6" fillId="33" borderId="0" xfId="0" applyNumberFormat="1" applyFont="1" applyFill="1" applyBorder="1" applyAlignment="1">
      <x:alignment horizontal="left" vertical="center"/>
    </x:xf>
    <x:xf numFmtId="0" fontId="36" fillId="33" borderId="0" xfId="0" applyNumberFormat="1" applyFont="1" applyFill="1" applyBorder="1" applyAlignment="1">
      <x:alignment horizontal="left" vertical="center"/>
    </x:xf>
    <x:xf numFmtId="0" fontId="7" fillId="34" borderId="0" xfId="0" applyNumberFormat="1" applyFont="1" applyFill="1" applyBorder="1" applyAlignment="1">
      <x:alignment vertical="top" wrapText="1"/>
    </x:xf>
    <x:xf numFmtId="0" fontId="37" fillId="34" borderId="0" xfId="0" applyNumberFormat="1" applyFont="1" applyFill="1" applyBorder="1" applyAlignment="1">
      <x:alignment vertical="top" wrapText="1"/>
    </x:xf>
    <x:xf numFmtId="0" fontId="37" fillId="34" borderId="0" xfId="0" applyNumberFormat="1" applyFont="1" applyFill="1" applyBorder="1" applyAlignment="1">
      <x:alignment horizontal="center" vertical="top" wrapText="1"/>
    </x:xf>
    <x:xf numFmtId="0" fontId="37" fillId="34" borderId="0" xfId="0" applyNumberFormat="1" applyFont="1" applyFill="1" applyBorder="1" applyAlignment="1">
      <x:alignment horizontal="center" vertical="center" wrapText="1"/>
    </x:xf>
    <x:xf numFmtId="0" fontId="7" fillId="35" borderId="0" xfId="0" applyNumberFormat="1" applyFont="1" applyFill="1" applyBorder="1" applyAlignment="1">
      <x:alignment vertical="top" wrapText="1"/>
    </x:xf>
    <x:xf numFmtId="0" fontId="38" fillId="35" borderId="0" xfId="0" applyNumberFormat="1" applyFont="1" applyFill="1" applyBorder="1" applyAlignment="1">
      <x:alignment vertical="top" wrapText="1"/>
    </x:xf>
    <x:xf numFmtId="0" fontId="38" fillId="35" borderId="27" xfId="0" applyNumberFormat="1" applyFont="1" applyFill="1" applyBorder="1" applyAlignment="1">
      <x:alignment vertical="top" wrapText="1"/>
    </x:xf>
    <x:xf numFmtId="0" fontId="38" fillId="35" borderId="28" xfId="0" applyNumberFormat="1" applyFont="1" applyFill="1" applyBorder="1" applyAlignment="1">
      <x:alignment vertical="top" wrapText="1"/>
    </x:xf>
    <x:xf numFmtId="0" fontId="38" fillId="35" borderId="27" xfId="0" applyNumberFormat="1" applyFont="1" applyFill="1" applyBorder="1" applyAlignment="1">
      <x:alignment horizontal="center" vertical="top" wrapText="1"/>
    </x:xf>
    <x:xf numFmtId="0" fontId="38" fillId="35" borderId="28" xfId="0" applyNumberFormat="1" applyFont="1" applyFill="1" applyBorder="1" applyAlignment="1">
      <x:alignment horizontal="center" vertical="top" wrapText="1"/>
    </x:xf>
    <x:xf numFmtId="0" fontId="38" fillId="35" borderId="27" xfId="0" applyNumberFormat="1" applyFont="1" applyFill="1" applyBorder="1" applyAlignment="1">
      <x:alignment horizontal="center" vertical="center" wrapText="1"/>
    </x:xf>
    <x:xf numFmtId="0" fontId="38" fillId="35" borderId="28" xfId="0" applyNumberFormat="1" applyFont="1" applyFill="1" applyBorder="1" applyAlignment="1">
      <x:alignment horizontal="center" vertical="center" wrapText="1"/>
    </x:xf>
    <x:xf numFmtId="0" fontId="7" fillId="36" borderId="0" xfId="0" applyNumberFormat="1" applyFont="1" applyFill="1" applyBorder="1" applyAlignment="1">
      <x:alignment vertical="top" wrapText="1"/>
    </x:xf>
    <x:xf numFmtId="0" fontId="39" fillId="36" borderId="0" xfId="0" applyNumberFormat="1" applyFont="1" applyFill="1" applyBorder="1" applyAlignment="1">
      <x:alignment vertical="top" wrapText="1"/>
    </x:xf>
    <x:xf numFmtId="0" fontId="39" fillId="36" borderId="0" xfId="0" applyNumberFormat="1" applyFont="1" applyFill="1" applyBorder="1" applyAlignment="1">
      <x:alignment vertical="center" wrapText="1"/>
    </x:xf>
    <x:xf numFmtId="0" fontId="8" fillId="37" borderId="10" xfId="0" applyNumberFormat="1" applyFont="1" applyFill="1" applyBorder="1" applyAlignment="1">
      <x:alignment horizontal="center" vertical="center" wrapText="1"/>
    </x:xf>
    <x:xf numFmtId="0" fontId="26" fillId="37" borderId="17" xfId="0" applyNumberFormat="1" applyFont="1" applyFill="1" applyBorder="1" applyAlignment="1">
      <x:alignment vertical="center" wrapText="1"/>
    </x:xf>
    <x:xf numFmtId="0" fontId="26" fillId="37" borderId="18" xfId="0" applyNumberFormat="1" applyFont="1" applyFill="1" applyBorder="1" applyAlignment="1">
      <x:alignment vertical="center" wrapText="1"/>
    </x:xf>
    <x:xf numFmtId="0" fontId="40" fillId="37" borderId="10" xfId="0" applyNumberFormat="1" applyFont="1" applyFill="1" applyBorder="1" applyAlignment="1">
      <x:alignment horizontal="center" vertical="center" wrapText="1"/>
    </x:xf>
    <x:xf numFmtId="0" fontId="40" fillId="37" borderId="17" xfId="0" applyNumberFormat="1" applyFont="1" applyFill="1" applyBorder="1" applyAlignment="1">
      <x:alignment vertical="center" wrapText="1"/>
    </x:xf>
    <x:xf numFmtId="0" fontId="40" fillId="37" borderId="18" xfId="0" applyNumberFormat="1" applyFont="1" applyFill="1" applyBorder="1" applyAlignment="1">
      <x:alignment vertical="center" wrapText="1"/>
    </x:xf>
    <x:xf numFmtId="0" fontId="40" fillId="37" borderId="29" xfId="0" applyNumberFormat="1" applyFont="1" applyFill="1" applyBorder="1" applyAlignment="1">
      <x:alignment vertical="center" wrapText="1"/>
    </x:xf>
    <x:xf numFmtId="0" fontId="40" fillId="37" borderId="30" xfId="0" applyNumberFormat="1" applyFont="1" applyFill="1" applyBorder="1" applyAlignment="1">
      <x:alignment vertical="center" wrapText="1"/>
    </x:xf>
    <x:xf numFmtId="0" fontId="40" fillId="37" borderId="29" xfId="0" applyNumberFormat="1" applyFont="1" applyFill="1" applyBorder="1" applyAlignment="1">
      <x:alignment horizontal="center" vertical="center" wrapText="1"/>
    </x:xf>
    <x:xf numFmtId="0" fontId="40" fillId="37" borderId="30" xfId="0" applyNumberFormat="1" applyFont="1" applyFill="1" applyBorder="1" applyAlignment="1">
      <x:alignment horizontal="center" vertical="center" wrapText="1"/>
    </x:xf>
    <x:xf numFmtId="0" fontId="26" fillId="37" borderId="21" xfId="0" applyNumberFormat="1" applyFont="1" applyFill="1" applyBorder="1" applyAlignment="1">
      <x:alignment vertical="center" wrapText="1"/>
    </x:xf>
    <x:xf numFmtId="0" fontId="26" fillId="37" borderId="22" xfId="0" applyNumberFormat="1" applyFont="1" applyFill="1" applyBorder="1" applyAlignment="1">
      <x:alignment vertical="center" wrapText="1"/>
    </x:xf>
    <x:xf numFmtId="0" fontId="40" fillId="37" borderId="21" xfId="0" applyNumberFormat="1" applyFont="1" applyFill="1" applyBorder="1" applyAlignment="1">
      <x:alignment vertical="center" wrapText="1"/>
    </x:xf>
    <x:xf numFmtId="0" fontId="40" fillId="37" borderId="22" xfId="0" applyNumberFormat="1" applyFont="1" applyFill="1" applyBorder="1" applyAlignment="1">
      <x:alignment vertical="center" wrapText="1"/>
    </x:xf>
    <x:xf numFmtId="0" fontId="9" fillId="38" borderId="10" xfId="0" applyNumberFormat="1" applyFont="1" applyFill="1" applyBorder="1" applyAlignment="1">
      <x:alignment horizontal="center" vertical="center" wrapText="1"/>
    </x:xf>
    <x:xf numFmtId="0" fontId="30" fillId="38" borderId="17" xfId="0" applyNumberFormat="1" applyFont="1" applyFill="1" applyBorder="1" applyAlignment="1">
      <x:alignment vertical="center" wrapText="1"/>
    </x:xf>
    <x:xf numFmtId="0" fontId="30" fillId="38" borderId="18" xfId="0" applyNumberFormat="1" applyFont="1" applyFill="1" applyBorder="1" applyAlignment="1">
      <x:alignment vertical="center" wrapText="1"/>
    </x:xf>
    <x:xf numFmtId="0" fontId="40" fillId="38" borderId="10" xfId="0" applyNumberFormat="1" applyFont="1" applyFill="1" applyBorder="1" applyAlignment="1">
      <x:alignment horizontal="center" vertical="center" wrapText="1"/>
    </x:xf>
    <x:xf numFmtId="0" fontId="40" fillId="38" borderId="17" xfId="0" applyNumberFormat="1" applyFont="1" applyFill="1" applyBorder="1" applyAlignment="1">
      <x:alignment vertical="center" wrapText="1"/>
    </x:xf>
    <x:xf numFmtId="0" fontId="40" fillId="38" borderId="18" xfId="0" applyNumberFormat="1" applyFont="1" applyFill="1" applyBorder="1" applyAlignment="1">
      <x:alignment vertical="center" wrapText="1"/>
    </x:xf>
    <x:xf numFmtId="0" fontId="40" fillId="38" borderId="29" xfId="0" applyNumberFormat="1" applyFont="1" applyFill="1" applyBorder="1" applyAlignment="1">
      <x:alignment vertical="center" wrapText="1"/>
    </x:xf>
    <x:xf numFmtId="0" fontId="40" fillId="38" borderId="30" xfId="0" applyNumberFormat="1" applyFont="1" applyFill="1" applyBorder="1" applyAlignment="1">
      <x:alignment vertical="center" wrapText="1"/>
    </x:xf>
    <x:xf numFmtId="0" fontId="40" fillId="38" borderId="29" xfId="0" applyNumberFormat="1" applyFont="1" applyFill="1" applyBorder="1" applyAlignment="1">
      <x:alignment horizontal="center" vertical="center" wrapText="1"/>
    </x:xf>
    <x:xf numFmtId="0" fontId="40" fillId="38" borderId="30" xfId="0" applyNumberFormat="1" applyFont="1" applyFill="1" applyBorder="1" applyAlignment="1">
      <x:alignment horizontal="center" vertical="center" wrapText="1"/>
    </x:xf>
    <x:xf numFmtId="0" fontId="30" fillId="38" borderId="21" xfId="0" applyNumberFormat="1" applyFont="1" applyFill="1" applyBorder="1" applyAlignment="1">
      <x:alignment vertical="center" wrapText="1"/>
    </x:xf>
    <x:xf numFmtId="0" fontId="30" fillId="38" borderId="22" xfId="0" applyNumberFormat="1" applyFont="1" applyFill="1" applyBorder="1" applyAlignment="1">
      <x:alignment vertical="center" wrapText="1"/>
    </x:xf>
    <x:xf numFmtId="0" fontId="40" fillId="38" borderId="21" xfId="0" applyNumberFormat="1" applyFont="1" applyFill="1" applyBorder="1" applyAlignment="1">
      <x:alignment vertical="center" wrapText="1"/>
    </x:xf>
    <x:xf numFmtId="0" fontId="40" fillId="38" borderId="22" xfId="0" applyNumberFormat="1" applyFont="1" applyFill="1" applyBorder="1" applyAlignment="1">
      <x:alignment vertical="center" wrapText="1"/>
    </x:xf>
    <x:xf numFmtId="0" fontId="24" fillId="39" borderId="10" xfId="0" applyNumberFormat="1" applyFont="1" applyFill="1" applyBorder="1" applyAlignment="1">
      <x:alignment horizontal="center" vertical="center" wrapText="1"/>
    </x:xf>
    <x:xf numFmtId="0" fontId="32" fillId="39" borderId="21" xfId="0" applyNumberFormat="1" applyFont="1" applyFill="1" applyBorder="1" applyAlignment="1">
      <x:alignment vertical="center" wrapText="1"/>
    </x:xf>
    <x:xf numFmtId="0" fontId="32" fillId="39" borderId="22" xfId="0" applyNumberFormat="1" applyFont="1" applyFill="1" applyBorder="1" applyAlignment="1">
      <x:alignment vertical="center" wrapText="1"/>
    </x:xf>
    <x:xf numFmtId="0" fontId="40" fillId="39" borderId="10" xfId="0" applyNumberFormat="1" applyFont="1" applyFill="1" applyBorder="1" applyAlignment="1">
      <x:alignment horizontal="center" vertical="center" wrapText="1"/>
    </x:xf>
    <x:xf numFmtId="0" fontId="40" fillId="39" borderId="21" xfId="0" applyNumberFormat="1" applyFont="1" applyFill="1" applyBorder="1" applyAlignment="1">
      <x:alignment vertical="center" wrapText="1"/>
    </x:xf>
    <x:xf numFmtId="0" fontId="40" fillId="39" borderId="22" xfId="0" applyNumberFormat="1" applyFont="1" applyFill="1" applyBorder="1" applyAlignment="1">
      <x:alignment vertical="center" wrapText="1"/>
    </x:xf>
    <x:xf numFmtId="0" fontId="40" fillId="39" borderId="29" xfId="0" applyNumberFormat="1" applyFont="1" applyFill="1" applyBorder="1" applyAlignment="1">
      <x:alignment vertical="center" wrapText="1"/>
    </x:xf>
    <x:xf numFmtId="0" fontId="40" fillId="39" borderId="30" xfId="0" applyNumberFormat="1" applyFont="1" applyFill="1" applyBorder="1" applyAlignment="1">
      <x:alignment vertical="center" wrapText="1"/>
    </x:xf>
    <x:xf numFmtId="0" fontId="40" fillId="39" borderId="29" xfId="0" applyNumberFormat="1" applyFont="1" applyFill="1" applyBorder="1" applyAlignment="1">
      <x:alignment horizontal="center" vertical="center" wrapText="1"/>
    </x:xf>
    <x:xf numFmtId="0" fontId="40" fillId="39" borderId="30" xfId="0" applyNumberFormat="1" applyFont="1" applyFill="1" applyBorder="1" applyAlignment="1">
      <x:alignment horizontal="center" vertical="center" wrapText="1"/>
    </x:xf>
    <x:xf numFmtId="0" fontId="11" fillId="40" borderId="10" xfId="0" applyNumberFormat="1" applyFont="1" applyFill="1" applyBorder="1" applyAlignment="1">
      <x:alignment horizontal="center" vertical="center" wrapText="1"/>
    </x:xf>
    <x:xf numFmtId="0" fontId="33" fillId="40" borderId="21" xfId="0" applyNumberFormat="1" applyFont="1" applyFill="1" applyBorder="1" applyAlignment="1">
      <x:alignment vertical="center" wrapText="1"/>
    </x:xf>
    <x:xf numFmtId="0" fontId="33" fillId="40" borderId="22" xfId="0" applyNumberFormat="1" applyFont="1" applyFill="1" applyBorder="1" applyAlignment="1">
      <x:alignment vertical="center" wrapText="1"/>
    </x:xf>
    <x:xf numFmtId="0" fontId="40" fillId="40" borderId="10" xfId="0" applyNumberFormat="1" applyFont="1" applyFill="1" applyBorder="1" applyAlignment="1">
      <x:alignment horizontal="center" vertical="center" wrapText="1"/>
    </x:xf>
    <x:xf numFmtId="0" fontId="40" fillId="40" borderId="21" xfId="0" applyNumberFormat="1" applyFont="1" applyFill="1" applyBorder="1" applyAlignment="1">
      <x:alignment vertical="center" wrapText="1"/>
    </x:xf>
    <x:xf numFmtId="0" fontId="40" fillId="40" borderId="22" xfId="0" applyNumberFormat="1" applyFont="1" applyFill="1" applyBorder="1" applyAlignment="1">
      <x:alignment vertical="center" wrapText="1"/>
    </x:xf>
    <x:xf numFmtId="0" fontId="40" fillId="40" borderId="29" xfId="0" applyNumberFormat="1" applyFont="1" applyFill="1" applyBorder="1" applyAlignment="1">
      <x:alignment vertical="center" wrapText="1"/>
    </x:xf>
    <x:xf numFmtId="0" fontId="40" fillId="40" borderId="30" xfId="0" applyNumberFormat="1" applyFont="1" applyFill="1" applyBorder="1" applyAlignment="1">
      <x:alignment vertical="center" wrapText="1"/>
    </x:xf>
    <x:xf numFmtId="0" fontId="40" fillId="40" borderId="29" xfId="0" applyNumberFormat="1" applyFont="1" applyFill="1" applyBorder="1" applyAlignment="1">
      <x:alignment horizontal="center" vertical="center" wrapText="1"/>
    </x:xf>
    <x:xf numFmtId="0" fontId="40" fillId="40" borderId="30" xfId="0" applyNumberFormat="1" applyFont="1" applyFill="1" applyBorder="1" applyAlignment="1">
      <x:alignment horizontal="center" vertical="center" wrapText="1"/>
    </x:xf>
    <x:xf numFmtId="0" fontId="25" fillId="41" borderId="10" xfId="0" applyNumberFormat="1" applyFont="1" applyFill="1" applyBorder="1" applyAlignment="1">
      <x:alignment horizontal="center" vertical="center" wrapText="1"/>
    </x:xf>
    <x:xf numFmtId="0" fontId="34" fillId="41" borderId="21" xfId="0" applyNumberFormat="1" applyFont="1" applyFill="1" applyBorder="1" applyAlignment="1">
      <x:alignment vertical="center" wrapText="1"/>
    </x:xf>
    <x:xf numFmtId="0" fontId="34" fillId="41" borderId="22" xfId="0" applyNumberFormat="1" applyFont="1" applyFill="1" applyBorder="1" applyAlignment="1">
      <x:alignment vertical="center" wrapText="1"/>
    </x:xf>
    <x:xf numFmtId="0" fontId="40" fillId="41" borderId="10" xfId="0" applyNumberFormat="1" applyFont="1" applyFill="1" applyBorder="1" applyAlignment="1">
      <x:alignment horizontal="center" vertical="center" wrapText="1"/>
    </x:xf>
    <x:xf numFmtId="0" fontId="40" fillId="41" borderId="21" xfId="0" applyNumberFormat="1" applyFont="1" applyFill="1" applyBorder="1" applyAlignment="1">
      <x:alignment vertical="center" wrapText="1"/>
    </x:xf>
    <x:xf numFmtId="0" fontId="40" fillId="41" borderId="22" xfId="0" applyNumberFormat="1" applyFont="1" applyFill="1" applyBorder="1" applyAlignment="1">
      <x:alignment vertical="center" wrapText="1"/>
    </x:xf>
    <x:xf numFmtId="0" fontId="40" fillId="41" borderId="29" xfId="0" applyNumberFormat="1" applyFont="1" applyFill="1" applyBorder="1" applyAlignment="1">
      <x:alignment vertical="center" wrapText="1"/>
    </x:xf>
    <x:xf numFmtId="0" fontId="40" fillId="41" borderId="30" xfId="0" applyNumberFormat="1" applyFont="1" applyFill="1" applyBorder="1" applyAlignment="1">
      <x:alignment vertical="center" wrapText="1"/>
    </x:xf>
    <x:xf numFmtId="0" fontId="40" fillId="41" borderId="29" xfId="0" applyNumberFormat="1" applyFont="1" applyFill="1" applyBorder="1" applyAlignment="1">
      <x:alignment horizontal="center" vertical="center" wrapText="1"/>
    </x:xf>
    <x:xf numFmtId="0" fontId="40" fillId="41" borderId="30" xfId="0" applyNumberFormat="1" applyFont="1" applyFill="1" applyBorder="1" applyAlignment="1">
      <x:alignment horizontal="center" vertical="center" wrapText="1"/>
    </x:xf>
    <x:xf numFmtId="0" fontId="13" fillId="42" borderId="10" xfId="0" applyNumberFormat="1" applyFont="1" applyFill="1" applyBorder="1" applyAlignment="1">
      <x:alignment horizontal="center" vertical="center" wrapText="1"/>
    </x:xf>
    <x:xf numFmtId="0" fontId="35" fillId="42" borderId="21" xfId="0" applyNumberFormat="1" applyFont="1" applyFill="1" applyBorder="1" applyAlignment="1">
      <x:alignment vertical="center" wrapText="1"/>
    </x:xf>
    <x:xf numFmtId="0" fontId="35" fillId="42" borderId="22" xfId="0" applyNumberFormat="1" applyFont="1" applyFill="1" applyBorder="1" applyAlignment="1">
      <x:alignment vertical="center" wrapText="1"/>
    </x:xf>
    <x:xf numFmtId="0" fontId="40" fillId="42" borderId="10" xfId="0" applyNumberFormat="1" applyFont="1" applyFill="1" applyBorder="1" applyAlignment="1">
      <x:alignment horizontal="center" vertical="center" wrapText="1"/>
    </x:xf>
    <x:xf numFmtId="0" fontId="40" fillId="42" borderId="21" xfId="0" applyNumberFormat="1" applyFont="1" applyFill="1" applyBorder="1" applyAlignment="1">
      <x:alignment vertical="center" wrapText="1"/>
    </x:xf>
    <x:xf numFmtId="0" fontId="40" fillId="42" borderId="22" xfId="0" applyNumberFormat="1" applyFont="1" applyFill="1" applyBorder="1" applyAlignment="1">
      <x:alignment vertical="center" wrapText="1"/>
    </x:xf>
    <x:xf numFmtId="0" fontId="40" fillId="42" borderId="29" xfId="0" applyNumberFormat="1" applyFont="1" applyFill="1" applyBorder="1" applyAlignment="1">
      <x:alignment vertical="center" wrapText="1"/>
    </x:xf>
    <x:xf numFmtId="0" fontId="40" fillId="42" borderId="30" xfId="0" applyNumberFormat="1" applyFont="1" applyFill="1" applyBorder="1" applyAlignment="1">
      <x:alignment vertical="center" wrapText="1"/>
    </x:xf>
    <x:xf numFmtId="0" fontId="40" fillId="42" borderId="29" xfId="0" applyNumberFormat="1" applyFont="1" applyFill="1" applyBorder="1" applyAlignment="1">
      <x:alignment horizontal="center" vertical="center" wrapText="1"/>
    </x:xf>
    <x:xf numFmtId="0" fontId="40" fillId="42" borderId="30" xfId="0" applyNumberFormat="1" applyFont="1" applyFill="1" applyBorder="1" applyAlignment="1">
      <x:alignment horizontal="center" vertical="center" wrapText="1"/>
    </x:xf>
    <x:xf numFmtId="0" fontId="28" fillId="43" borderId="21" xfId="0" applyNumberFormat="1" applyFont="1" applyFill="1" applyBorder="1" applyAlignment="1">
      <x:alignment vertical="center" wrapText="1"/>
    </x:xf>
    <x:xf numFmtId="0" fontId="28" fillId="43" borderId="22" xfId="0" applyNumberFormat="1" applyFont="1" applyFill="1" applyBorder="1" applyAlignment="1">
      <x:alignment vertical="center" wrapText="1"/>
    </x:xf>
    <x:xf numFmtId="0" fontId="29" fillId="43" borderId="23" xfId="0" applyNumberFormat="1" applyFont="1" applyFill="1" applyBorder="1" applyAlignment="1">
      <x:alignment vertical="center" wrapText="1"/>
    </x:xf>
    <x:xf numFmtId="0" fontId="29" fillId="43" borderId="24" xfId="0" applyNumberFormat="1" applyFont="1" applyFill="1" applyBorder="1" applyAlignment="1">
      <x:alignment vertical="center" wrapText="1"/>
    </x:xf>
    <x:xf numFmtId="0" fontId="27" fillId="43" borderId="25" xfId="0" applyNumberFormat="1" applyFont="1" applyFill="1" applyBorder="1" applyAlignment="1">
      <x:alignment vertical="center" wrapText="1"/>
    </x:xf>
    <x:xf numFmtId="0" fontId="27" fillId="43" borderId="26" xfId="0" applyNumberFormat="1" applyFont="1" applyFill="1" applyBorder="1" applyAlignment="1">
      <x:alignment vertical="center" wrapText="1"/>
    </x:xf>
    <x:xf numFmtId="0" fontId="27" fillId="43" borderId="19" xfId="0" applyNumberFormat="1" applyFont="1" applyFill="1" applyBorder="1" applyAlignment="1">
      <x:alignment vertical="center" wrapText="1"/>
    </x:xf>
    <x:xf numFmtId="0" fontId="27" fillId="43" borderId="20" xfId="0" applyNumberFormat="1" applyFont="1" applyFill="1" applyBorder="1" applyAlignment="1">
      <x:alignment vertical="center" wrapText="1"/>
    </x:xf>
    <x:xf numFmtId="0" fontId="41" fillId="43" borderId="21" xfId="0" applyNumberFormat="1" applyFont="1" applyFill="1" applyBorder="1" applyAlignment="1">
      <x:alignment vertical="center" wrapText="1"/>
    </x:xf>
    <x:xf numFmtId="0" fontId="41" fillId="43" borderId="22" xfId="0" applyNumberFormat="1" applyFont="1" applyFill="1" applyBorder="1" applyAlignment="1">
      <x:alignment vertical="center" wrapText="1"/>
    </x:xf>
    <x:xf numFmtId="0" fontId="42" fillId="43" borderId="23" xfId="0" applyNumberFormat="1" applyFont="1" applyFill="1" applyBorder="1" applyAlignment="1">
      <x:alignment vertical="center" wrapText="1"/>
    </x:xf>
    <x:xf numFmtId="0" fontId="42" fillId="43" borderId="24" xfId="0" applyNumberFormat="1" applyFont="1" applyFill="1" applyBorder="1" applyAlignment="1">
      <x:alignment vertical="center" wrapText="1"/>
    </x:xf>
    <x:xf numFmtId="0" fontId="41" fillId="43" borderId="25" xfId="0" applyNumberFormat="1" applyFont="1" applyFill="1" applyBorder="1" applyAlignment="1">
      <x:alignment vertical="center" wrapText="1"/>
    </x:xf>
    <x:xf numFmtId="0" fontId="41" fillId="43" borderId="26" xfId="0" applyNumberFormat="1" applyFont="1" applyFill="1" applyBorder="1" applyAlignment="1">
      <x:alignment vertical="center" wrapText="1"/>
    </x:xf>
    <x:xf numFmtId="0" fontId="41" fillId="43" borderId="19" xfId="0" applyNumberFormat="1" applyFont="1" applyFill="1" applyBorder="1" applyAlignment="1">
      <x:alignment vertical="center" wrapText="1"/>
    </x:xf>
    <x:xf numFmtId="0" fontId="41" fillId="43" borderId="20" xfId="0" applyNumberFormat="1" applyFont="1" applyFill="1" applyBorder="1" applyAlignment="1">
      <x:alignment vertical="center" wrapText="1"/>
    </x:xf>
    <x:xf numFmtId="0" fontId="41" fillId="43" borderId="31" xfId="0" applyNumberFormat="1" applyFont="1" applyFill="1" applyBorder="1" applyAlignment="1">
      <x:alignment vertical="center" wrapText="1"/>
    </x:xf>
    <x:xf numFmtId="0" fontId="41" fillId="43" borderId="32" xfId="0" applyNumberFormat="1" applyFont="1" applyFill="1" applyBorder="1" applyAlignment="1">
      <x:alignment vertical="center" wrapText="1"/>
    </x:xf>
    <x:xf numFmtId="0" fontId="42" fillId="43" borderId="33" xfId="0" applyNumberFormat="1" applyFont="1" applyFill="1" applyBorder="1" applyAlignment="1">
      <x:alignment vertical="center" wrapText="1"/>
    </x:xf>
    <x:xf numFmtId="0" fontId="42" fillId="43" borderId="34" xfId="0" applyNumberFormat="1" applyFont="1" applyFill="1" applyBorder="1" applyAlignment="1">
      <x:alignment vertical="center" wrapText="1"/>
    </x:xf>
    <x:xf numFmtId="0" fontId="41" fillId="43" borderId="35" xfId="0" applyNumberFormat="1" applyFont="1" applyFill="1" applyBorder="1" applyAlignment="1">
      <x:alignment vertical="center" wrapText="1"/>
    </x:xf>
    <x:xf numFmtId="0" fontId="41" fillId="43" borderId="36" xfId="0" applyNumberFormat="1" applyFont="1" applyFill="1" applyBorder="1" applyAlignment="1">
      <x:alignment vertical="center" wrapText="1"/>
    </x:xf>
    <x:xf numFmtId="0" fontId="41" fillId="43" borderId="37" xfId="0" applyNumberFormat="1" applyFont="1" applyFill="1" applyBorder="1" applyAlignment="1">
      <x:alignment vertical="center" wrapText="1"/>
    </x:xf>
    <x:xf numFmtId="0" fontId="41" fillId="43" borderId="38" xfId="0" applyNumberFormat="1" applyFont="1" applyFill="1" applyBorder="1" applyAlignment="1">
      <x:alignment vertical="center" wrapText="1"/>
    </x:xf>
    <x:xf numFmtId="0" fontId="41" fillId="43" borderId="31" xfId="0" applyNumberFormat="1" applyFont="1" applyFill="1" applyBorder="1" applyAlignment="1">
      <x:alignment horizontal="left" vertical="center" wrapText="1"/>
    </x:xf>
    <x:xf numFmtId="0" fontId="41" fillId="43" borderId="32" xfId="0" applyNumberFormat="1" applyFont="1" applyFill="1" applyBorder="1" applyAlignment="1">
      <x:alignment horizontal="left" vertical="center" wrapText="1"/>
    </x:xf>
    <x:xf numFmtId="0" fontId="42" fillId="43" borderId="33" xfId="0" applyNumberFormat="1" applyFont="1" applyFill="1" applyBorder="1" applyAlignment="1">
      <x:alignment horizontal="left" vertical="center" wrapText="1"/>
    </x:xf>
    <x:xf numFmtId="0" fontId="42" fillId="43" borderId="34" xfId="0" applyNumberFormat="1" applyFont="1" applyFill="1" applyBorder="1" applyAlignment="1">
      <x:alignment horizontal="left" vertical="center" wrapText="1"/>
    </x:xf>
    <x:xf numFmtId="0" fontId="41" fillId="43" borderId="35" xfId="0" applyNumberFormat="1" applyFont="1" applyFill="1" applyBorder="1" applyAlignment="1">
      <x:alignment horizontal="left" vertical="center" wrapText="1"/>
    </x:xf>
    <x:xf numFmtId="0" fontId="41" fillId="43" borderId="36" xfId="0" applyNumberFormat="1" applyFont="1" applyFill="1" applyBorder="1" applyAlignment="1">
      <x:alignment horizontal="left" vertical="center" wrapText="1"/>
    </x:xf>
    <x:xf numFmtId="0" fontId="41" fillId="43" borderId="37" xfId="0" applyNumberFormat="1" applyFont="1" applyFill="1" applyBorder="1" applyAlignment="1">
      <x:alignment horizontal="left" vertical="center" wrapText="1"/>
    </x:xf>
    <x:xf numFmtId="0" fontId="41" fillId="43" borderId="38" xfId="0" applyNumberFormat="1" applyFont="1" applyFill="1" applyBorder="1" applyAlignment="1">
      <x:alignment horizontal="left" vertical="center" wrapText="1"/>
    </x:xf>
    <x:xf numFmtId="0" fontId="28" fillId="43" borderId="19" xfId="0" applyNumberFormat="1" applyFont="1" applyFill="1" applyBorder="1" applyAlignment="1">
      <x:alignment vertical="center" wrapText="1"/>
    </x:xf>
    <x:xf numFmtId="0" fontId="28" fillId="43" borderId="20" xfId="0" applyNumberFormat="1" applyFont="1" applyFill="1" applyBorder="1" applyAlignment="1">
      <x:alignment vertical="center" wrapText="1"/>
    </x:xf>
    <x:xf numFmtId="0" fontId="27" fillId="43" borderId="21" xfId="0" applyNumberFormat="1" applyFont="1" applyFill="1" applyBorder="1" applyAlignment="1">
      <x:alignment vertical="center" wrapText="1"/>
    </x:xf>
    <x:xf numFmtId="0" fontId="27" fillId="43" borderId="22" xfId="0" applyNumberFormat="1" applyFont="1" applyFill="1" applyBorder="1" applyAlignment="1">
      <x:alignment vertical="center" wrapText="1"/>
    </x:xf>
    <x:xf numFmtId="0" fontId="26" fillId="43" borderId="23" xfId="0" applyNumberFormat="1" applyFont="1" applyFill="1" applyBorder="1" applyAlignment="1">
      <x:alignment vertical="center" wrapText="1"/>
    </x:xf>
    <x:xf numFmtId="0" fontId="26" fillId="43" borderId="24" xfId="0" applyNumberFormat="1" applyFont="1" applyFill="1" applyBorder="1" applyAlignment="1">
      <x:alignment vertical="center" wrapText="1"/>
    </x:xf>
    <x:xf numFmtId="0" fontId="28" fillId="43" borderId="25" xfId="0" applyNumberFormat="1" applyFont="1" applyFill="1" applyBorder="1" applyAlignment="1">
      <x:alignment vertical="center" wrapText="1"/>
    </x:xf>
    <x:xf numFmtId="0" fontId="28" fillId="43" borderId="26" xfId="0" applyNumberFormat="1" applyFont="1" applyFill="1" applyBorder="1" applyAlignment="1">
      <x:alignment vertical="center" wrapText="1"/>
    </x:xf>
    <x:xf numFmtId="0" fontId="41" fillId="43" borderId="39" xfId="0" applyNumberFormat="1" applyFont="1" applyFill="1" applyBorder="1" applyAlignment="1">
      <x:alignment vertical="center" wrapText="1"/>
    </x:xf>
    <x:xf numFmtId="0" fontId="41" fillId="43" borderId="40" xfId="0" applyNumberFormat="1" applyFont="1" applyFill="1" applyBorder="1" applyAlignment="1">
      <x:alignment vertical="center" wrapText="1"/>
    </x:xf>
    <x:xf numFmtId="0" fontId="41" fillId="43" borderId="41" xfId="0" applyNumberFormat="1" applyFont="1" applyFill="1" applyBorder="1" applyAlignment="1">
      <x:alignment vertical="center" wrapText="1"/>
    </x:xf>
    <x:xf numFmtId="0" fontId="41" fillId="43" borderId="42" xfId="0" applyNumberFormat="1" applyFont="1" applyFill="1" applyBorder="1" applyAlignment="1">
      <x:alignment vertical="center" wrapText="1"/>
    </x:xf>
    <x:xf numFmtId="0" fontId="41" fillId="43" borderId="43" xfId="0" applyNumberFormat="1" applyFont="1" applyFill="1" applyBorder="1" applyAlignment="1">
      <x:alignment vertical="center" wrapText="1"/>
    </x:xf>
    <x:xf numFmtId="0" fontId="41" fillId="43" borderId="44" xfId="0" applyNumberFormat="1" applyFont="1" applyFill="1" applyBorder="1" applyAlignment="1">
      <x:alignment vertical="center" wrapText="1"/>
    </x:xf>
    <x:xf numFmtId="0" fontId="41" fillId="43" borderId="39" xfId="0" applyNumberFormat="1" applyFont="1" applyFill="1" applyBorder="1" applyAlignment="1">
      <x:alignment horizontal="left" vertical="center" wrapText="1"/>
    </x:xf>
    <x:xf numFmtId="0" fontId="41" fillId="43" borderId="40" xfId="0" applyNumberFormat="1" applyFont="1" applyFill="1" applyBorder="1" applyAlignment="1">
      <x:alignment horizontal="left" vertical="center" wrapText="1"/>
    </x:xf>
    <x:xf numFmtId="0" fontId="41" fillId="43" borderId="41" xfId="0" applyNumberFormat="1" applyFont="1" applyFill="1" applyBorder="1" applyAlignment="1">
      <x:alignment horizontal="left" vertical="center" wrapText="1"/>
    </x:xf>
    <x:xf numFmtId="0" fontId="41" fillId="43" borderId="42" xfId="0" applyNumberFormat="1" applyFont="1" applyFill="1" applyBorder="1" applyAlignment="1">
      <x:alignment horizontal="left" vertical="center" wrapText="1"/>
    </x:xf>
    <x:xf numFmtId="0" fontId="41" fillId="43" borderId="43" xfId="0" applyNumberFormat="1" applyFont="1" applyFill="1" applyBorder="1" applyAlignment="1">
      <x:alignment horizontal="left" vertical="center" wrapText="1"/>
    </x:xf>
    <x:xf numFmtId="0" fontId="41" fillId="43" borderId="44" xfId="0" applyNumberFormat="1" applyFont="1" applyFill="1" applyBorder="1" applyAlignment="1">
      <x:alignment horizontal="left" vertical="center" wrapText="1"/>
    </x:xf>
    <x:xf numFmtId="0" fontId="26" fillId="43" borderId="17" xfId="0" applyNumberFormat="1" applyFont="1" applyFill="1" applyBorder="1" applyAlignment="1">
      <x:alignment vertical="center" wrapText="1"/>
    </x:xf>
    <x:xf numFmtId="0" fontId="26" fillId="43" borderId="18" xfId="0" applyNumberFormat="1" applyFont="1" applyFill="1" applyBorder="1" applyAlignment="1">
      <x:alignment vertical="center" wrapText="1"/>
    </x:xf>
    <x:xf numFmtId="0" fontId="42" fillId="43" borderId="17" xfId="0" applyNumberFormat="1" applyFont="1" applyFill="1" applyBorder="1" applyAlignment="1">
      <x:alignment vertical="center" wrapText="1"/>
    </x:xf>
    <x:xf numFmtId="0" fontId="42" fillId="43" borderId="18" xfId="0" applyNumberFormat="1" applyFont="1" applyFill="1" applyBorder="1" applyAlignment="1">
      <x:alignment vertical="center" wrapText="1"/>
    </x:xf>
    <x:xf numFmtId="0" fontId="42" fillId="43" borderId="45" xfId="0" applyNumberFormat="1" applyFont="1" applyFill="1" applyBorder="1" applyAlignment="1">
      <x:alignment vertical="center" wrapText="1"/>
    </x:xf>
    <x:xf numFmtId="0" fontId="42" fillId="43" borderId="46" xfId="0" applyNumberFormat="1" applyFont="1" applyFill="1" applyBorder="1" applyAlignment="1">
      <x:alignment vertical="center" wrapText="1"/>
    </x:xf>
    <x:xf numFmtId="0" fontId="41" fillId="43" borderId="47" xfId="0" applyNumberFormat="1" applyFont="1" applyFill="1" applyBorder="1" applyAlignment="1">
      <x:alignment vertical="center" wrapText="1"/>
    </x:xf>
    <x:xf numFmtId="0" fontId="41" fillId="43" borderId="48" xfId="0" applyNumberFormat="1" applyFont="1" applyFill="1" applyBorder="1" applyAlignment="1">
      <x:alignment vertical="center" wrapText="1"/>
    </x:xf>
    <x:xf numFmtId="0" fontId="42" fillId="43" borderId="49" xfId="0" applyNumberFormat="1" applyFont="1" applyFill="1" applyBorder="1" applyAlignment="1">
      <x:alignment vertical="center" wrapText="1"/>
    </x:xf>
    <x:xf numFmtId="0" fontId="42" fillId="43" borderId="50" xfId="0" applyNumberFormat="1" applyFont="1" applyFill="1" applyBorder="1" applyAlignment="1">
      <x:alignment vertical="center" wrapText="1"/>
    </x:xf>
    <x:xf numFmtId="0" fontId="42" fillId="43" borderId="45" xfId="0" applyNumberFormat="1" applyFont="1" applyFill="1" applyBorder="1" applyAlignment="1">
      <x:alignment horizontal="left" vertical="center" wrapText="1"/>
    </x:xf>
    <x:xf numFmtId="0" fontId="42" fillId="43" borderId="46" xfId="0" applyNumberFormat="1" applyFont="1" applyFill="1" applyBorder="1" applyAlignment="1">
      <x:alignment horizontal="left" vertical="center" wrapText="1"/>
    </x:xf>
    <x:xf numFmtId="0" fontId="41" fillId="43" borderId="47" xfId="0" applyNumberFormat="1" applyFont="1" applyFill="1" applyBorder="1" applyAlignment="1">
      <x:alignment horizontal="left" vertical="center" wrapText="1"/>
    </x:xf>
    <x:xf numFmtId="0" fontId="41" fillId="43" borderId="48" xfId="0" applyNumberFormat="1" applyFont="1" applyFill="1" applyBorder="1" applyAlignment="1">
      <x:alignment horizontal="left" vertical="center" wrapText="1"/>
    </x:xf>
    <x:xf numFmtId="0" fontId="42" fillId="43" borderId="49" xfId="0" applyNumberFormat="1" applyFont="1" applyFill="1" applyBorder="1" applyAlignment="1">
      <x:alignment horizontal="left" vertical="center" wrapText="1"/>
    </x:xf>
    <x:xf numFmtId="0" fontId="42" fillId="43" borderId="50" xfId="0" applyNumberFormat="1" applyFont="1" applyFill="1" applyBorder="1" applyAlignment="1">
      <x:alignment horizontal="left" vertical="center" wrapText="1"/>
    </x:xf>
    <x:xf numFmtId="0" fontId="26" fillId="43" borderId="21" xfId="0" applyNumberFormat="1" applyFont="1" applyFill="1" applyBorder="1" applyAlignment="1">
      <x:alignment vertical="center" wrapText="1"/>
    </x:xf>
    <x:xf numFmtId="0" fontId="26" fillId="43" borderId="22" xfId="0" applyNumberFormat="1" applyFont="1" applyFill="1" applyBorder="1" applyAlignment="1">
      <x:alignment vertical="center" wrapText="1"/>
    </x:xf>
    <x:xf numFmtId="0" fontId="42" fillId="43" borderId="21" xfId="0" applyNumberFormat="1" applyFont="1" applyFill="1" applyBorder="1" applyAlignment="1">
      <x:alignment vertical="center" wrapText="1"/>
    </x:xf>
    <x:xf numFmtId="0" fontId="42" fillId="43" borderId="22" xfId="0" applyNumberFormat="1" applyFont="1" applyFill="1" applyBorder="1" applyAlignment="1">
      <x:alignment vertical="center" wrapText="1"/>
    </x:xf>
    <x:xf numFmtId="0" fontId="42" fillId="43" borderId="31" xfId="0" applyNumberFormat="1" applyFont="1" applyFill="1" applyBorder="1" applyAlignment="1">
      <x:alignment vertical="center" wrapText="1"/>
    </x:xf>
    <x:xf numFmtId="0" fontId="42" fillId="43" borderId="32" xfId="0" applyNumberFormat="1" applyFont="1" applyFill="1" applyBorder="1" applyAlignment="1">
      <x:alignment vertical="center" wrapText="1"/>
    </x:xf>
    <x:xf numFmtId="0" fontId="42" fillId="43" borderId="31" xfId="0" applyNumberFormat="1" applyFont="1" applyFill="1" applyBorder="1" applyAlignment="1">
      <x:alignment horizontal="left" vertical="center" wrapText="1"/>
    </x:xf>
    <x:xf numFmtId="0" fontId="42" fillId="43" borderId="32" xfId="0" applyNumberFormat="1" applyFont="1" applyFill="1" applyBorder="1" applyAlignment="1">
      <x:alignment horizontal="left" vertical="center" wrapText="1"/>
    </x:xf>
    <x:xf numFmtId="0" fontId="27" fillId="20" borderId="25" xfId="0" applyNumberFormat="1" applyFont="1" applyFill="1" applyBorder="1" applyAlignment="1">
      <x:alignment vertical="center" wrapText="1"/>
    </x:xf>
    <x:xf numFmtId="0" fontId="27" fillId="20" borderId="26" xfId="0" applyNumberFormat="1" applyFont="1" applyFill="1" applyBorder="1" applyAlignment="1">
      <x:alignment vertical="center" wrapText="1"/>
    </x:xf>
    <x:xf numFmtId="0" fontId="29" fillId="43" borderId="17" xfId="0" applyNumberFormat="1" applyFont="1" applyFill="1" applyBorder="1" applyAlignment="1">
      <x:alignment vertical="center" wrapText="1"/>
    </x:xf>
    <x:xf numFmtId="0" fontId="29" fillId="43" borderId="18" xfId="0" applyNumberFormat="1" applyFont="1" applyFill="1" applyBorder="1" applyAlignment="1">
      <x:alignment vertical="center" wrapText="1"/>
    </x:xf>
    <x:xf numFmtId="0" fontId="42" fillId="43" borderId="51" xfId="0" applyNumberFormat="1" applyFont="1" applyFill="1" applyBorder="1" applyAlignment="1">
      <x:alignment vertical="center" wrapText="1"/>
    </x:xf>
    <x:xf numFmtId="0" fontId="42" fillId="43" borderId="52" xfId="0" applyNumberFormat="1" applyFont="1" applyFill="1" applyBorder="1" applyAlignment="1">
      <x:alignment vertical="center" wrapText="1"/>
    </x:xf>
    <x:xf numFmtId="0" fontId="42" fillId="43" borderId="51" xfId="0" applyNumberFormat="1" applyFont="1" applyFill="1" applyBorder="1" applyAlignment="1">
      <x:alignment horizontal="left" vertical="center" wrapText="1"/>
    </x:xf>
    <x:xf numFmtId="0" fontId="42" fillId="43" borderId="52" xfId="0" applyNumberFormat="1" applyFont="1" applyFill="1" applyBorder="1" applyAlignment="1">
      <x:alignment horizontal="left" vertical="center" wrapText="1"/>
    </x:xf>
    <x:xf numFmtId="0" fontId="29" fillId="43" borderId="21" xfId="0" applyNumberFormat="1" applyFont="1" applyFill="1" applyBorder="1" applyAlignment="1">
      <x:alignment vertical="center" wrapText="1"/>
    </x:xf>
    <x:xf numFmtId="0" fontId="29" fillId="43" borderId="22" xfId="0" applyNumberFormat="1" applyFont="1" applyFill="1" applyBorder="1" applyAlignment="1">
      <x:alignment vertical="center" wrapText="1"/>
    </x:xf>
    <x:xf numFmtId="0" fontId="42" fillId="43" borderId="41" xfId="0" applyNumberFormat="1" applyFont="1" applyFill="1" applyBorder="1" applyAlignment="1">
      <x:alignment vertical="center" wrapText="1"/>
    </x:xf>
    <x:xf numFmtId="0" fontId="42" fillId="43" borderId="42" xfId="0" applyNumberFormat="1" applyFont="1" applyFill="1" applyBorder="1" applyAlignment="1">
      <x:alignment vertical="center" wrapText="1"/>
    </x:xf>
    <x:xf numFmtId="0" fontId="42" fillId="43" borderId="41" xfId="0" applyNumberFormat="1" applyFont="1" applyFill="1" applyBorder="1" applyAlignment="1">
      <x:alignment horizontal="left" vertical="center" wrapText="1"/>
    </x:xf>
    <x:xf numFmtId="0" fontId="42" fillId="43" borderId="42" xfId="0" applyNumberFormat="1" applyFont="1" applyFill="1" applyBorder="1" applyAlignment="1">
      <x:alignment horizontal="left" vertical="center" wrapText="1"/>
    </x:xf>
    <x:xf numFmtId="0" fontId="26" fillId="20" borderId="23" xfId="0" applyNumberFormat="1" applyFont="1" applyFill="1" applyBorder="1" applyAlignment="1">
      <x:alignment vertical="center" wrapText="1"/>
    </x:xf>
    <x:xf numFmtId="0" fontId="26" fillId="20" borderId="24" xfId="0" applyNumberFormat="1" applyFont="1" applyFill="1" applyBorder="1" applyAlignment="1">
      <x:alignment vertical="center" wrapText="1"/>
    </x:xf>
    <x:xf numFmtId="0" fontId="41" fillId="43" borderId="53" xfId="0" applyNumberFormat="1" applyFont="1" applyFill="1" applyBorder="1" applyAlignment="1">
      <x:alignment vertical="center" wrapText="1"/>
    </x:xf>
    <x:xf numFmtId="0" fontId="41" fillId="43" borderId="54" xfId="0" applyNumberFormat="1" applyFont="1" applyFill="1" applyBorder="1" applyAlignment="1">
      <x:alignment vertical="center" wrapText="1"/>
    </x:xf>
    <x:xf numFmtId="0" fontId="41" fillId="43" borderId="53" xfId="0" applyNumberFormat="1" applyFont="1" applyFill="1" applyBorder="1" applyAlignment="1">
      <x:alignment horizontal="left" vertical="center" wrapText="1"/>
    </x:xf>
    <x:xf numFmtId="0" fontId="41" fillId="43" borderId="54" xfId="0" applyNumberFormat="1" applyFont="1" applyFill="1" applyBorder="1" applyAlignment="1">
      <x:alignment horizontal="left" vertical="center" wrapText="1"/>
    </x:xf>
    <x:xf numFmtId="0" fontId="42" fillId="43" borderId="39" xfId="0" applyNumberFormat="1" applyFont="1" applyFill="1" applyBorder="1" applyAlignment="1">
      <x:alignment vertical="center" wrapText="1"/>
    </x:xf>
    <x:xf numFmtId="0" fontId="42" fillId="43" borderId="40" xfId="0" applyNumberFormat="1" applyFont="1" applyFill="1" applyBorder="1" applyAlignment="1">
      <x:alignment vertical="center" wrapText="1"/>
    </x:xf>
    <x:xf numFmtId="0" fontId="42" fillId="43" borderId="43" xfId="0" applyNumberFormat="1" applyFont="1" applyFill="1" applyBorder="1" applyAlignment="1">
      <x:alignment vertical="center" wrapText="1"/>
    </x:xf>
    <x:xf numFmtId="0" fontId="42" fillId="43" borderId="44" xfId="0" applyNumberFormat="1" applyFont="1" applyFill="1" applyBorder="1" applyAlignment="1">
      <x:alignment vertical="center" wrapText="1"/>
    </x:xf>
    <x:xf numFmtId="0" fontId="42" fillId="43" borderId="39" xfId="0" applyNumberFormat="1" applyFont="1" applyFill="1" applyBorder="1" applyAlignment="1">
      <x:alignment horizontal="left" vertical="center" wrapText="1"/>
    </x:xf>
    <x:xf numFmtId="0" fontId="42" fillId="43" borderId="40" xfId="0" applyNumberFormat="1" applyFont="1" applyFill="1" applyBorder="1" applyAlignment="1">
      <x:alignment horizontal="left" vertical="center" wrapText="1"/>
    </x:xf>
    <x:xf numFmtId="0" fontId="42" fillId="43" borderId="43" xfId="0" applyNumberFormat="1" applyFont="1" applyFill="1" applyBorder="1" applyAlignment="1">
      <x:alignment horizontal="left" vertical="center" wrapText="1"/>
    </x:xf>
    <x:xf numFmtId="0" fontId="42" fillId="43" borderId="44" xfId="0" applyNumberFormat="1" applyFont="1" applyFill="1" applyBorder="1" applyAlignment="1">
      <x:alignment horizontal="left" vertical="center" wrapText="1"/>
    </x:xf>
    <x:xf numFmtId="0" fontId="26" fillId="20" borderId="17" xfId="0" applyNumberFormat="1" applyFont="1" applyFill="1" applyBorder="1" applyAlignment="1">
      <x:alignment vertical="center" wrapText="1"/>
    </x:xf>
    <x:xf numFmtId="0" fontId="26" fillId="20" borderId="18" xfId="0" applyNumberFormat="1" applyFont="1" applyFill="1" applyBorder="1" applyAlignment="1">
      <x:alignment vertical="center" wrapText="1"/>
    </x:xf>
    <x:xf numFmtId="0" fontId="26" fillId="20" borderId="21" xfId="0" applyNumberFormat="1" applyFont="1" applyFill="1" applyBorder="1" applyAlignment="1">
      <x:alignment vertical="center" wrapText="1"/>
    </x:xf>
    <x:xf numFmtId="0" fontId="26" fillId="20" borderId="22" xfId="0" applyNumberFormat="1" applyFont="1" applyFill="1" applyBorder="1" applyAlignment="1">
      <x:alignment vertical="center" wrapText="1"/>
    </x:xf>
    <x:xf numFmtId="0" fontId="27" fillId="20" borderId="19" xfId="0" applyNumberFormat="1" applyFont="1" applyFill="1" applyBorder="1" applyAlignment="1">
      <x:alignment vertical="center" wrapText="1"/>
    </x:xf>
    <x:xf numFmtId="0" fontId="27" fillId="20" borderId="20" xfId="0" applyNumberFormat="1" applyFont="1" applyFill="1" applyBorder="1" applyAlignment="1">
      <x:alignment vertical="center" wrapText="1"/>
    </x:xf>
    <x:xf numFmtId="0" fontId="28" fillId="44" borderId="21" xfId="0" applyNumberFormat="1" applyFont="1" applyFill="1" applyBorder="1" applyAlignment="1">
      <x:alignment vertical="center" wrapText="1"/>
    </x:xf>
    <x:xf numFmtId="0" fontId="28" fillId="44" borderId="22" xfId="0" applyNumberFormat="1" applyFont="1" applyFill="1" applyBorder="1" applyAlignment="1">
      <x:alignment vertical="center" wrapText="1"/>
    </x:xf>
    <x:xf numFmtId="0" fontId="29" fillId="44" borderId="23" xfId="0" applyNumberFormat="1" applyFont="1" applyFill="1" applyBorder="1" applyAlignment="1">
      <x:alignment vertical="center" wrapText="1"/>
    </x:xf>
    <x:xf numFmtId="0" fontId="29" fillId="44" borderId="24" xfId="0" applyNumberFormat="1" applyFont="1" applyFill="1" applyBorder="1" applyAlignment="1">
      <x:alignment vertical="center" wrapText="1"/>
    </x:xf>
    <x:xf numFmtId="0" fontId="31" fillId="44" borderId="25" xfId="0" applyNumberFormat="1" applyFont="1" applyFill="1" applyBorder="1" applyAlignment="1">
      <x:alignment vertical="center" wrapText="1"/>
    </x:xf>
    <x:xf numFmtId="0" fontId="31" fillId="44" borderId="26" xfId="0" applyNumberFormat="1" applyFont="1" applyFill="1" applyBorder="1" applyAlignment="1">
      <x:alignment vertical="center" wrapText="1"/>
    </x:xf>
    <x:xf numFmtId="0" fontId="31" fillId="44" borderId="19" xfId="0" applyNumberFormat="1" applyFont="1" applyFill="1" applyBorder="1" applyAlignment="1">
      <x:alignment vertical="center" wrapText="1"/>
    </x:xf>
    <x:xf numFmtId="0" fontId="31" fillId="44" borderId="20" xfId="0" applyNumberFormat="1" applyFont="1" applyFill="1" applyBorder="1" applyAlignment="1">
      <x:alignment vertical="center" wrapText="1"/>
    </x:xf>
    <x:xf numFmtId="0" fontId="41" fillId="44" borderId="21" xfId="0" applyNumberFormat="1" applyFont="1" applyFill="1" applyBorder="1" applyAlignment="1">
      <x:alignment vertical="center" wrapText="1"/>
    </x:xf>
    <x:xf numFmtId="0" fontId="41" fillId="44" borderId="22" xfId="0" applyNumberFormat="1" applyFont="1" applyFill="1" applyBorder="1" applyAlignment="1">
      <x:alignment vertical="center" wrapText="1"/>
    </x:xf>
    <x:xf numFmtId="0" fontId="42" fillId="44" borderId="23" xfId="0" applyNumberFormat="1" applyFont="1" applyFill="1" applyBorder="1" applyAlignment="1">
      <x:alignment vertical="center" wrapText="1"/>
    </x:xf>
    <x:xf numFmtId="0" fontId="42" fillId="44" borderId="24" xfId="0" applyNumberFormat="1" applyFont="1" applyFill="1" applyBorder="1" applyAlignment="1">
      <x:alignment vertical="center" wrapText="1"/>
    </x:xf>
    <x:xf numFmtId="0" fontId="41" fillId="44" borderId="25" xfId="0" applyNumberFormat="1" applyFont="1" applyFill="1" applyBorder="1" applyAlignment="1">
      <x:alignment vertical="center" wrapText="1"/>
    </x:xf>
    <x:xf numFmtId="0" fontId="41" fillId="44" borderId="26" xfId="0" applyNumberFormat="1" applyFont="1" applyFill="1" applyBorder="1" applyAlignment="1">
      <x:alignment vertical="center" wrapText="1"/>
    </x:xf>
    <x:xf numFmtId="0" fontId="41" fillId="44" borderId="19" xfId="0" applyNumberFormat="1" applyFont="1" applyFill="1" applyBorder="1" applyAlignment="1">
      <x:alignment vertical="center" wrapText="1"/>
    </x:xf>
    <x:xf numFmtId="0" fontId="41" fillId="44" borderId="20" xfId="0" applyNumberFormat="1" applyFont="1" applyFill="1" applyBorder="1" applyAlignment="1">
      <x:alignment vertical="center" wrapText="1"/>
    </x:xf>
    <x:xf numFmtId="0" fontId="41" fillId="44" borderId="55" xfId="0" applyNumberFormat="1" applyFont="1" applyFill="1" applyBorder="1" applyAlignment="1">
      <x:alignment vertical="center" wrapText="1"/>
    </x:xf>
    <x:xf numFmtId="0" fontId="41" fillId="44" borderId="56" xfId="0" applyNumberFormat="1" applyFont="1" applyFill="1" applyBorder="1" applyAlignment="1">
      <x:alignment vertical="center" wrapText="1"/>
    </x:xf>
    <x:xf numFmtId="0" fontId="42" fillId="44" borderId="33" xfId="0" applyNumberFormat="1" applyFont="1" applyFill="1" applyBorder="1" applyAlignment="1">
      <x:alignment vertical="center" wrapText="1"/>
    </x:xf>
    <x:xf numFmtId="0" fontId="42" fillId="44" borderId="34" xfId="0" applyNumberFormat="1" applyFont="1" applyFill="1" applyBorder="1" applyAlignment="1">
      <x:alignment vertical="center" wrapText="1"/>
    </x:xf>
    <x:xf numFmtId="0" fontId="41" fillId="44" borderId="35" xfId="0" applyNumberFormat="1" applyFont="1" applyFill="1" applyBorder="1" applyAlignment="1">
      <x:alignment vertical="center" wrapText="1"/>
    </x:xf>
    <x:xf numFmtId="0" fontId="41" fillId="44" borderId="36" xfId="0" applyNumberFormat="1" applyFont="1" applyFill="1" applyBorder="1" applyAlignment="1">
      <x:alignment vertical="center" wrapText="1"/>
    </x:xf>
    <x:xf numFmtId="0" fontId="41" fillId="44" borderId="37" xfId="0" applyNumberFormat="1" applyFont="1" applyFill="1" applyBorder="1" applyAlignment="1">
      <x:alignment vertical="center" wrapText="1"/>
    </x:xf>
    <x:xf numFmtId="0" fontId="41" fillId="44" borderId="38" xfId="0" applyNumberFormat="1" applyFont="1" applyFill="1" applyBorder="1" applyAlignment="1">
      <x:alignment vertical="center" wrapText="1"/>
    </x:xf>
    <x:xf numFmtId="0" fontId="41" fillId="44" borderId="55" xfId="0" applyNumberFormat="1" applyFont="1" applyFill="1" applyBorder="1" applyAlignment="1">
      <x:alignment horizontal="left" vertical="center" wrapText="1"/>
    </x:xf>
    <x:xf numFmtId="0" fontId="41" fillId="44" borderId="56" xfId="0" applyNumberFormat="1" applyFont="1" applyFill="1" applyBorder="1" applyAlignment="1">
      <x:alignment horizontal="left" vertical="center" wrapText="1"/>
    </x:xf>
    <x:xf numFmtId="0" fontId="42" fillId="44" borderId="33" xfId="0" applyNumberFormat="1" applyFont="1" applyFill="1" applyBorder="1" applyAlignment="1">
      <x:alignment horizontal="left" vertical="center" wrapText="1"/>
    </x:xf>
    <x:xf numFmtId="0" fontId="42" fillId="44" borderId="34" xfId="0" applyNumberFormat="1" applyFont="1" applyFill="1" applyBorder="1" applyAlignment="1">
      <x:alignment horizontal="left" vertical="center" wrapText="1"/>
    </x:xf>
    <x:xf numFmtId="0" fontId="41" fillId="44" borderId="35" xfId="0" applyNumberFormat="1" applyFont="1" applyFill="1" applyBorder="1" applyAlignment="1">
      <x:alignment horizontal="left" vertical="center" wrapText="1"/>
    </x:xf>
    <x:xf numFmtId="0" fontId="41" fillId="44" borderId="36" xfId="0" applyNumberFormat="1" applyFont="1" applyFill="1" applyBorder="1" applyAlignment="1">
      <x:alignment horizontal="left" vertical="center" wrapText="1"/>
    </x:xf>
    <x:xf numFmtId="0" fontId="41" fillId="44" borderId="37" xfId="0" applyNumberFormat="1" applyFont="1" applyFill="1" applyBorder="1" applyAlignment="1">
      <x:alignment horizontal="left" vertical="center" wrapText="1"/>
    </x:xf>
    <x:xf numFmtId="0" fontId="41" fillId="44" borderId="38" xfId="0" applyNumberFormat="1" applyFont="1" applyFill="1" applyBorder="1" applyAlignment="1">
      <x:alignment horizontal="left" vertical="center" wrapText="1"/>
    </x:xf>
    <x:xf numFmtId="0" fontId="28" fillId="44" borderId="19" xfId="0" applyNumberFormat="1" applyFont="1" applyFill="1" applyBorder="1" applyAlignment="1">
      <x:alignment vertical="center" wrapText="1"/>
    </x:xf>
    <x:xf numFmtId="0" fontId="28" fillId="44" borderId="20" xfId="0" applyNumberFormat="1" applyFont="1" applyFill="1" applyBorder="1" applyAlignment="1">
      <x:alignment vertical="center" wrapText="1"/>
    </x:xf>
    <x:xf numFmtId="0" fontId="31" fillId="44" borderId="21" xfId="0" applyNumberFormat="1" applyFont="1" applyFill="1" applyBorder="1" applyAlignment="1">
      <x:alignment vertical="center" wrapText="1"/>
    </x:xf>
    <x:xf numFmtId="0" fontId="31" fillId="44" borderId="22" xfId="0" applyNumberFormat="1" applyFont="1" applyFill="1" applyBorder="1" applyAlignment="1">
      <x:alignment vertical="center" wrapText="1"/>
    </x:xf>
    <x:xf numFmtId="0" fontId="41" fillId="44" borderId="57" xfId="0" applyNumberFormat="1" applyFont="1" applyFill="1" applyBorder="1" applyAlignment="1">
      <x:alignment vertical="center" wrapText="1"/>
    </x:xf>
    <x:xf numFmtId="0" fontId="41" fillId="44" borderId="58" xfId="0" applyNumberFormat="1" applyFont="1" applyFill="1" applyBorder="1" applyAlignment="1">
      <x:alignment vertical="center" wrapText="1"/>
    </x:xf>
    <x:xf numFmtId="0" fontId="41" fillId="44" borderId="41" xfId="0" applyNumberFormat="1" applyFont="1" applyFill="1" applyBorder="1" applyAlignment="1">
      <x:alignment vertical="center" wrapText="1"/>
    </x:xf>
    <x:xf numFmtId="0" fontId="41" fillId="44" borderId="42" xfId="0" applyNumberFormat="1" applyFont="1" applyFill="1" applyBorder="1" applyAlignment="1">
      <x:alignment vertical="center" wrapText="1"/>
    </x:xf>
    <x:xf numFmtId="0" fontId="41" fillId="44" borderId="47" xfId="0" applyNumberFormat="1" applyFont="1" applyFill="1" applyBorder="1" applyAlignment="1">
      <x:alignment vertical="center" wrapText="1"/>
    </x:xf>
    <x:xf numFmtId="0" fontId="41" fillId="44" borderId="48" xfId="0" applyNumberFormat="1" applyFont="1" applyFill="1" applyBorder="1" applyAlignment="1">
      <x:alignment vertical="center" wrapText="1"/>
    </x:xf>
    <x:xf numFmtId="0" fontId="41" fillId="44" borderId="43" xfId="0" applyNumberFormat="1" applyFont="1" applyFill="1" applyBorder="1" applyAlignment="1">
      <x:alignment vertical="center" wrapText="1"/>
    </x:xf>
    <x:xf numFmtId="0" fontId="41" fillId="44" borderId="44" xfId="0" applyNumberFormat="1" applyFont="1" applyFill="1" applyBorder="1" applyAlignment="1">
      <x:alignment vertical="center" wrapText="1"/>
    </x:xf>
    <x:xf numFmtId="0" fontId="41" fillId="44" borderId="57" xfId="0" applyNumberFormat="1" applyFont="1" applyFill="1" applyBorder="1" applyAlignment="1">
      <x:alignment horizontal="left" vertical="center" wrapText="1"/>
    </x:xf>
    <x:xf numFmtId="0" fontId="41" fillId="44" borderId="58" xfId="0" applyNumberFormat="1" applyFont="1" applyFill="1" applyBorder="1" applyAlignment="1">
      <x:alignment horizontal="left" vertical="center" wrapText="1"/>
    </x:xf>
    <x:xf numFmtId="0" fontId="41" fillId="44" borderId="41" xfId="0" applyNumberFormat="1" applyFont="1" applyFill="1" applyBorder="1" applyAlignment="1">
      <x:alignment horizontal="left" vertical="center" wrapText="1"/>
    </x:xf>
    <x:xf numFmtId="0" fontId="41" fillId="44" borderId="42" xfId="0" applyNumberFormat="1" applyFont="1" applyFill="1" applyBorder="1" applyAlignment="1">
      <x:alignment horizontal="left" vertical="center" wrapText="1"/>
    </x:xf>
    <x:xf numFmtId="0" fontId="41" fillId="44" borderId="47" xfId="0" applyNumberFormat="1" applyFont="1" applyFill="1" applyBorder="1" applyAlignment="1">
      <x:alignment horizontal="left" vertical="center" wrapText="1"/>
    </x:xf>
    <x:xf numFmtId="0" fontId="41" fillId="44" borderId="48" xfId="0" applyNumberFormat="1" applyFont="1" applyFill="1" applyBorder="1" applyAlignment="1">
      <x:alignment horizontal="left" vertical="center" wrapText="1"/>
    </x:xf>
    <x:xf numFmtId="0" fontId="41" fillId="44" borderId="43" xfId="0" applyNumberFormat="1" applyFont="1" applyFill="1" applyBorder="1" applyAlignment="1">
      <x:alignment horizontal="left" vertical="center" wrapText="1"/>
    </x:xf>
    <x:xf numFmtId="0" fontId="41" fillId="44" borderId="44" xfId="0" applyNumberFormat="1" applyFont="1" applyFill="1" applyBorder="1" applyAlignment="1">
      <x:alignment horizontal="left" vertical="center" wrapText="1"/>
    </x:xf>
    <x:xf numFmtId="0" fontId="31" fillId="20" borderId="21" xfId="0" applyNumberFormat="1" applyFont="1" applyFill="1" applyBorder="1" applyAlignment="1">
      <x:alignment vertical="center" wrapText="1"/>
    </x:xf>
    <x:xf numFmtId="0" fontId="31" fillId="20" borderId="22" xfId="0" applyNumberFormat="1" applyFont="1" applyFill="1" applyBorder="1" applyAlignment="1">
      <x:alignment vertical="center" wrapText="1"/>
    </x:xf>
    <x:xf numFmtId="0" fontId="31" fillId="20" borderId="19" xfId="0" applyNumberFormat="1" applyFont="1" applyFill="1" applyBorder="1" applyAlignment="1">
      <x:alignment vertical="center" wrapText="1"/>
    </x:xf>
    <x:xf numFmtId="0" fontId="31" fillId="20" borderId="20" xfId="0" applyNumberFormat="1" applyFont="1" applyFill="1" applyBorder="1" applyAlignment="1">
      <x:alignment vertical="center" wrapText="1"/>
    </x:xf>
    <x:xf numFmtId="0" fontId="28" fillId="45" borderId="21" xfId="0" applyNumberFormat="1" applyFont="1" applyFill="1" applyBorder="1" applyAlignment="1">
      <x:alignment vertical="center" wrapText="1"/>
    </x:xf>
    <x:xf numFmtId="0" fontId="28" fillId="45" borderId="22" xfId="0" applyNumberFormat="1" applyFont="1" applyFill="1" applyBorder="1" applyAlignment="1">
      <x:alignment vertical="center" wrapText="1"/>
    </x:xf>
    <x:xf numFmtId="0" fontId="28" fillId="45" borderId="19" xfId="0" applyNumberFormat="1" applyFont="1" applyFill="1" applyBorder="1" applyAlignment="1">
      <x:alignment vertical="center" wrapText="1"/>
    </x:xf>
    <x:xf numFmtId="0" fontId="28" fillId="45" borderId="20" xfId="0" applyNumberFormat="1" applyFont="1" applyFill="1" applyBorder="1" applyAlignment="1">
      <x:alignment vertical="center" wrapText="1"/>
    </x:xf>
    <x:xf numFmtId="0" fontId="32" fillId="45" borderId="21" xfId="0" applyNumberFormat="1" applyFont="1" applyFill="1" applyBorder="1" applyAlignment="1">
      <x:alignment vertical="center" wrapText="1"/>
    </x:xf>
    <x:xf numFmtId="0" fontId="32" fillId="45" borderId="22" xfId="0" applyNumberFormat="1" applyFont="1" applyFill="1" applyBorder="1" applyAlignment="1">
      <x:alignment vertical="center" wrapText="1"/>
    </x:xf>
    <x:xf numFmtId="0" fontId="32" fillId="45" borderId="19" xfId="0" applyNumberFormat="1" applyFont="1" applyFill="1" applyBorder="1" applyAlignment="1">
      <x:alignment vertical="center" wrapText="1"/>
    </x:xf>
    <x:xf numFmtId="0" fontId="32" fillId="45" borderId="20" xfId="0" applyNumberFormat="1" applyFont="1" applyFill="1" applyBorder="1" applyAlignment="1">
      <x:alignment vertical="center" wrapText="1"/>
    </x:xf>
    <x:xf numFmtId="0" fontId="41" fillId="45" borderId="21" xfId="0" applyNumberFormat="1" applyFont="1" applyFill="1" applyBorder="1" applyAlignment="1">
      <x:alignment vertical="center" wrapText="1"/>
    </x:xf>
    <x:xf numFmtId="0" fontId="41" fillId="45" borderId="22" xfId="0" applyNumberFormat="1" applyFont="1" applyFill="1" applyBorder="1" applyAlignment="1">
      <x:alignment vertical="center" wrapText="1"/>
    </x:xf>
    <x:xf numFmtId="0" fontId="41" fillId="45" borderId="19" xfId="0" applyNumberFormat="1" applyFont="1" applyFill="1" applyBorder="1" applyAlignment="1">
      <x:alignment vertical="center" wrapText="1"/>
    </x:xf>
    <x:xf numFmtId="0" fontId="41" fillId="45" borderId="20" xfId="0" applyNumberFormat="1" applyFont="1" applyFill="1" applyBorder="1" applyAlignment="1">
      <x:alignment vertical="center" wrapText="1"/>
    </x:xf>
    <x:xf numFmtId="0" fontId="41" fillId="45" borderId="59" xfId="0" applyNumberFormat="1" applyFont="1" applyFill="1" applyBorder="1" applyAlignment="1">
      <x:alignment vertical="center" wrapText="1"/>
    </x:xf>
    <x:xf numFmtId="0" fontId="41" fillId="45" borderId="60" xfId="0" applyNumberFormat="1" applyFont="1" applyFill="1" applyBorder="1" applyAlignment="1">
      <x:alignment vertical="center" wrapText="1"/>
    </x:xf>
    <x:xf numFmtId="0" fontId="41" fillId="45" borderId="47" xfId="0" applyNumberFormat="1" applyFont="1" applyFill="1" applyBorder="1" applyAlignment="1">
      <x:alignment vertical="center" wrapText="1"/>
    </x:xf>
    <x:xf numFmtId="0" fontId="41" fillId="45" borderId="48" xfId="0" applyNumberFormat="1" applyFont="1" applyFill="1" applyBorder="1" applyAlignment="1">
      <x:alignment vertical="center" wrapText="1"/>
    </x:xf>
    <x:xf numFmtId="0" fontId="41" fillId="45" borderId="41" xfId="0" applyNumberFormat="1" applyFont="1" applyFill="1" applyBorder="1" applyAlignment="1">
      <x:alignment vertical="center" wrapText="1"/>
    </x:xf>
    <x:xf numFmtId="0" fontId="41" fillId="45" borderId="42" xfId="0" applyNumberFormat="1" applyFont="1" applyFill="1" applyBorder="1" applyAlignment="1">
      <x:alignment vertical="center" wrapText="1"/>
    </x:xf>
    <x:xf numFmtId="0" fontId="41" fillId="45" borderId="37" xfId="0" applyNumberFormat="1" applyFont="1" applyFill="1" applyBorder="1" applyAlignment="1">
      <x:alignment vertical="center" wrapText="1"/>
    </x:xf>
    <x:xf numFmtId="0" fontId="41" fillId="45" borderId="38" xfId="0" applyNumberFormat="1" applyFont="1" applyFill="1" applyBorder="1" applyAlignment="1">
      <x:alignment vertical="center" wrapText="1"/>
    </x:xf>
    <x:xf numFmtId="0" fontId="41" fillId="45" borderId="59" xfId="0" applyNumberFormat="1" applyFont="1" applyFill="1" applyBorder="1" applyAlignment="1">
      <x:alignment horizontal="left" vertical="center" wrapText="1"/>
    </x:xf>
    <x:xf numFmtId="0" fontId="41" fillId="45" borderId="60" xfId="0" applyNumberFormat="1" applyFont="1" applyFill="1" applyBorder="1" applyAlignment="1">
      <x:alignment horizontal="left" vertical="center" wrapText="1"/>
    </x:xf>
    <x:xf numFmtId="0" fontId="41" fillId="45" borderId="47" xfId="0" applyNumberFormat="1" applyFont="1" applyFill="1" applyBorder="1" applyAlignment="1">
      <x:alignment horizontal="left" vertical="center" wrapText="1"/>
    </x:xf>
    <x:xf numFmtId="0" fontId="41" fillId="45" borderId="48" xfId="0" applyNumberFormat="1" applyFont="1" applyFill="1" applyBorder="1" applyAlignment="1">
      <x:alignment horizontal="left" vertical="center" wrapText="1"/>
    </x:xf>
    <x:xf numFmtId="0" fontId="41" fillId="45" borderId="41" xfId="0" applyNumberFormat="1" applyFont="1" applyFill="1" applyBorder="1" applyAlignment="1">
      <x:alignment horizontal="left" vertical="center" wrapText="1"/>
    </x:xf>
    <x:xf numFmtId="0" fontId="41" fillId="45" borderId="42" xfId="0" applyNumberFormat="1" applyFont="1" applyFill="1" applyBorder="1" applyAlignment="1">
      <x:alignment horizontal="left" vertical="center" wrapText="1"/>
    </x:xf>
    <x:xf numFmtId="0" fontId="41" fillId="45" borderId="37" xfId="0" applyNumberFormat="1" applyFont="1" applyFill="1" applyBorder="1" applyAlignment="1">
      <x:alignment horizontal="left" vertical="center" wrapText="1"/>
    </x:xf>
    <x:xf numFmtId="0" fontId="41" fillId="45" borderId="38" xfId="0" applyNumberFormat="1" applyFont="1" applyFill="1" applyBorder="1" applyAlignment="1">
      <x:alignment horizontal="left" vertical="center" wrapText="1"/>
    </x:xf>
    <x:xf numFmtId="0" fontId="41" fillId="45" borderId="61" xfId="0" applyNumberFormat="1" applyFont="1" applyFill="1" applyBorder="1" applyAlignment="1">
      <x:alignment vertical="center" wrapText="1"/>
    </x:xf>
    <x:xf numFmtId="0" fontId="41" fillId="45" borderId="62" xfId="0" applyNumberFormat="1" applyFont="1" applyFill="1" applyBorder="1" applyAlignment="1">
      <x:alignment vertical="center" wrapText="1"/>
    </x:xf>
    <x:xf numFmtId="0" fontId="41" fillId="45" borderId="43" xfId="0" applyNumberFormat="1" applyFont="1" applyFill="1" applyBorder="1" applyAlignment="1">
      <x:alignment vertical="center" wrapText="1"/>
    </x:xf>
    <x:xf numFmtId="0" fontId="41" fillId="45" borderId="44" xfId="0" applyNumberFormat="1" applyFont="1" applyFill="1" applyBorder="1" applyAlignment="1">
      <x:alignment vertical="center" wrapText="1"/>
    </x:xf>
    <x:xf numFmtId="0" fontId="41" fillId="45" borderId="61" xfId="0" applyNumberFormat="1" applyFont="1" applyFill="1" applyBorder="1" applyAlignment="1">
      <x:alignment horizontal="left" vertical="center" wrapText="1"/>
    </x:xf>
    <x:xf numFmtId="0" fontId="41" fillId="45" borderId="62" xfId="0" applyNumberFormat="1" applyFont="1" applyFill="1" applyBorder="1" applyAlignment="1">
      <x:alignment horizontal="left" vertical="center" wrapText="1"/>
    </x:xf>
    <x:xf numFmtId="0" fontId="41" fillId="45" borderId="43" xfId="0" applyNumberFormat="1" applyFont="1" applyFill="1" applyBorder="1" applyAlignment="1">
      <x:alignment horizontal="left" vertical="center" wrapText="1"/>
    </x:xf>
    <x:xf numFmtId="0" fontId="41" fillId="45" borderId="44" xfId="0" applyNumberFormat="1" applyFont="1" applyFill="1" applyBorder="1" applyAlignment="1">
      <x:alignment horizontal="left" vertical="center" wrapText="1"/>
    </x:xf>
    <x:xf numFmtId="0" fontId="32" fillId="20" borderId="21" xfId="0" applyNumberFormat="1" applyFont="1" applyFill="1" applyBorder="1" applyAlignment="1">
      <x:alignment vertical="center" wrapText="1"/>
    </x:xf>
    <x:xf numFmtId="0" fontId="32" fillId="20" borderId="22" xfId="0" applyNumberFormat="1" applyFont="1" applyFill="1" applyBorder="1" applyAlignment="1">
      <x:alignment vertical="center" wrapText="1"/>
    </x:xf>
    <x:xf numFmtId="0" fontId="32" fillId="20" borderId="19" xfId="0" applyNumberFormat="1" applyFont="1" applyFill="1" applyBorder="1" applyAlignment="1">
      <x:alignment vertical="center" wrapText="1"/>
    </x:xf>
    <x:xf numFmtId="0" fontId="32" fillId="20" borderId="20" xfId="0" applyNumberFormat="1" applyFont="1" applyFill="1" applyBorder="1" applyAlignment="1">
      <x:alignment vertical="center" wrapText="1"/>
    </x:xf>
    <x:xf numFmtId="0" fontId="28" fillId="46" borderId="21" xfId="0" applyNumberFormat="1" applyFont="1" applyFill="1" applyBorder="1" applyAlignment="1">
      <x:alignment vertical="center" wrapText="1"/>
    </x:xf>
    <x:xf numFmtId="0" fontId="28" fillId="46" borderId="22" xfId="0" applyNumberFormat="1" applyFont="1" applyFill="1" applyBorder="1" applyAlignment="1">
      <x:alignment vertical="center" wrapText="1"/>
    </x:xf>
    <x:xf numFmtId="0" fontId="28" fillId="46" borderId="19" xfId="0" applyNumberFormat="1" applyFont="1" applyFill="1" applyBorder="1" applyAlignment="1">
      <x:alignment vertical="center" wrapText="1"/>
    </x:xf>
    <x:xf numFmtId="0" fontId="28" fillId="46" borderId="20" xfId="0" applyNumberFormat="1" applyFont="1" applyFill="1" applyBorder="1" applyAlignment="1">
      <x:alignment vertical="center" wrapText="1"/>
    </x:xf>
    <x:xf numFmtId="0" fontId="33" fillId="46" borderId="21" xfId="0" applyNumberFormat="1" applyFont="1" applyFill="1" applyBorder="1" applyAlignment="1">
      <x:alignment vertical="center" wrapText="1"/>
    </x:xf>
    <x:xf numFmtId="0" fontId="33" fillId="46" borderId="22" xfId="0" applyNumberFormat="1" applyFont="1" applyFill="1" applyBorder="1" applyAlignment="1">
      <x:alignment vertical="center" wrapText="1"/>
    </x:xf>
    <x:xf numFmtId="0" fontId="33" fillId="46" borderId="19" xfId="0" applyNumberFormat="1" applyFont="1" applyFill="1" applyBorder="1" applyAlignment="1">
      <x:alignment vertical="center" wrapText="1"/>
    </x:xf>
    <x:xf numFmtId="0" fontId="33" fillId="46" borderId="20" xfId="0" applyNumberFormat="1" applyFont="1" applyFill="1" applyBorder="1" applyAlignment="1">
      <x:alignment vertical="center" wrapText="1"/>
    </x:xf>
    <x:xf numFmtId="0" fontId="41" fillId="46" borderId="21" xfId="0" applyNumberFormat="1" applyFont="1" applyFill="1" applyBorder="1" applyAlignment="1">
      <x:alignment vertical="center" wrapText="1"/>
    </x:xf>
    <x:xf numFmtId="0" fontId="41" fillId="46" borderId="22" xfId="0" applyNumberFormat="1" applyFont="1" applyFill="1" applyBorder="1" applyAlignment="1">
      <x:alignment vertical="center" wrapText="1"/>
    </x:xf>
    <x:xf numFmtId="0" fontId="41" fillId="46" borderId="19" xfId="0" applyNumberFormat="1" applyFont="1" applyFill="1" applyBorder="1" applyAlignment="1">
      <x:alignment vertical="center" wrapText="1"/>
    </x:xf>
    <x:xf numFmtId="0" fontId="41" fillId="46" borderId="20" xfId="0" applyNumberFormat="1" applyFont="1" applyFill="1" applyBorder="1" applyAlignment="1">
      <x:alignment vertical="center" wrapText="1"/>
    </x:xf>
    <x:xf numFmtId="0" fontId="41" fillId="46" borderId="63" xfId="0" applyNumberFormat="1" applyFont="1" applyFill="1" applyBorder="1" applyAlignment="1">
      <x:alignment vertical="center" wrapText="1"/>
    </x:xf>
    <x:xf numFmtId="0" fontId="41" fillId="46" borderId="64" xfId="0" applyNumberFormat="1" applyFont="1" applyFill="1" applyBorder="1" applyAlignment="1">
      <x:alignment vertical="center" wrapText="1"/>
    </x:xf>
    <x:xf numFmtId="0" fontId="41" fillId="46" borderId="47" xfId="0" applyNumberFormat="1" applyFont="1" applyFill="1" applyBorder="1" applyAlignment="1">
      <x:alignment vertical="center" wrapText="1"/>
    </x:xf>
    <x:xf numFmtId="0" fontId="41" fillId="46" borderId="48" xfId="0" applyNumberFormat="1" applyFont="1" applyFill="1" applyBorder="1" applyAlignment="1">
      <x:alignment vertical="center" wrapText="1"/>
    </x:xf>
    <x:xf numFmtId="0" fontId="41" fillId="46" borderId="41" xfId="0" applyNumberFormat="1" applyFont="1" applyFill="1" applyBorder="1" applyAlignment="1">
      <x:alignment vertical="center" wrapText="1"/>
    </x:xf>
    <x:xf numFmtId="0" fontId="41" fillId="46" borderId="42" xfId="0" applyNumberFormat="1" applyFont="1" applyFill="1" applyBorder="1" applyAlignment="1">
      <x:alignment vertical="center" wrapText="1"/>
    </x:xf>
    <x:xf numFmtId="0" fontId="41" fillId="46" borderId="37" xfId="0" applyNumberFormat="1" applyFont="1" applyFill="1" applyBorder="1" applyAlignment="1">
      <x:alignment vertical="center" wrapText="1"/>
    </x:xf>
    <x:xf numFmtId="0" fontId="41" fillId="46" borderId="38" xfId="0" applyNumberFormat="1" applyFont="1" applyFill="1" applyBorder="1" applyAlignment="1">
      <x:alignment vertical="center" wrapText="1"/>
    </x:xf>
    <x:xf numFmtId="0" fontId="41" fillId="46" borderId="63" xfId="0" applyNumberFormat="1" applyFont="1" applyFill="1" applyBorder="1" applyAlignment="1">
      <x:alignment horizontal="left" vertical="center" wrapText="1"/>
    </x:xf>
    <x:xf numFmtId="0" fontId="41" fillId="46" borderId="64" xfId="0" applyNumberFormat="1" applyFont="1" applyFill="1" applyBorder="1" applyAlignment="1">
      <x:alignment horizontal="left" vertical="center" wrapText="1"/>
    </x:xf>
    <x:xf numFmtId="0" fontId="41" fillId="46" borderId="47" xfId="0" applyNumberFormat="1" applyFont="1" applyFill="1" applyBorder="1" applyAlignment="1">
      <x:alignment horizontal="left" vertical="center" wrapText="1"/>
    </x:xf>
    <x:xf numFmtId="0" fontId="41" fillId="46" borderId="48" xfId="0" applyNumberFormat="1" applyFont="1" applyFill="1" applyBorder="1" applyAlignment="1">
      <x:alignment horizontal="left" vertical="center" wrapText="1"/>
    </x:xf>
    <x:xf numFmtId="0" fontId="41" fillId="46" borderId="41" xfId="0" applyNumberFormat="1" applyFont="1" applyFill="1" applyBorder="1" applyAlignment="1">
      <x:alignment horizontal="left" vertical="center" wrapText="1"/>
    </x:xf>
    <x:xf numFmtId="0" fontId="41" fillId="46" borderId="42" xfId="0" applyNumberFormat="1" applyFont="1" applyFill="1" applyBorder="1" applyAlignment="1">
      <x:alignment horizontal="left" vertical="center" wrapText="1"/>
    </x:xf>
    <x:xf numFmtId="0" fontId="41" fillId="46" borderId="37" xfId="0" applyNumberFormat="1" applyFont="1" applyFill="1" applyBorder="1" applyAlignment="1">
      <x:alignment horizontal="left" vertical="center" wrapText="1"/>
    </x:xf>
    <x:xf numFmtId="0" fontId="41" fillId="46" borderId="38" xfId="0" applyNumberFormat="1" applyFont="1" applyFill="1" applyBorder="1" applyAlignment="1">
      <x:alignment horizontal="left" vertical="center" wrapText="1"/>
    </x:xf>
    <x:xf numFmtId="0" fontId="41" fillId="46" borderId="65" xfId="0" applyNumberFormat="1" applyFont="1" applyFill="1" applyBorder="1" applyAlignment="1">
      <x:alignment vertical="center" wrapText="1"/>
    </x:xf>
    <x:xf numFmtId="0" fontId="41" fillId="46" borderId="66" xfId="0" applyNumberFormat="1" applyFont="1" applyFill="1" applyBorder="1" applyAlignment="1">
      <x:alignment vertical="center" wrapText="1"/>
    </x:xf>
    <x:xf numFmtId="0" fontId="41" fillId="46" borderId="43" xfId="0" applyNumberFormat="1" applyFont="1" applyFill="1" applyBorder="1" applyAlignment="1">
      <x:alignment vertical="center" wrapText="1"/>
    </x:xf>
    <x:xf numFmtId="0" fontId="41" fillId="46" borderId="44" xfId="0" applyNumberFormat="1" applyFont="1" applyFill="1" applyBorder="1" applyAlignment="1">
      <x:alignment vertical="center" wrapText="1"/>
    </x:xf>
    <x:xf numFmtId="0" fontId="41" fillId="46" borderId="65" xfId="0" applyNumberFormat="1" applyFont="1" applyFill="1" applyBorder="1" applyAlignment="1">
      <x:alignment horizontal="left" vertical="center" wrapText="1"/>
    </x:xf>
    <x:xf numFmtId="0" fontId="41" fillId="46" borderId="66" xfId="0" applyNumberFormat="1" applyFont="1" applyFill="1" applyBorder="1" applyAlignment="1">
      <x:alignment horizontal="left" vertical="center" wrapText="1"/>
    </x:xf>
    <x:xf numFmtId="0" fontId="41" fillId="46" borderId="43" xfId="0" applyNumberFormat="1" applyFont="1" applyFill="1" applyBorder="1" applyAlignment="1">
      <x:alignment horizontal="left" vertical="center" wrapText="1"/>
    </x:xf>
    <x:xf numFmtId="0" fontId="41" fillId="46" borderId="44" xfId="0" applyNumberFormat="1" applyFont="1" applyFill="1" applyBorder="1" applyAlignment="1">
      <x:alignment horizontal="left" vertical="center" wrapText="1"/>
    </x:xf>
    <x:xf numFmtId="0" fontId="33" fillId="20" borderId="21" xfId="0" applyNumberFormat="1" applyFont="1" applyFill="1" applyBorder="1" applyAlignment="1">
      <x:alignment vertical="center" wrapText="1"/>
    </x:xf>
    <x:xf numFmtId="0" fontId="33" fillId="20" borderId="22" xfId="0" applyNumberFormat="1" applyFont="1" applyFill="1" applyBorder="1" applyAlignment="1">
      <x:alignment vertical="center" wrapText="1"/>
    </x:xf>
    <x:xf numFmtId="0" fontId="33" fillId="20" borderId="19" xfId="0" applyNumberFormat="1" applyFont="1" applyFill="1" applyBorder="1" applyAlignment="1">
      <x:alignment vertical="center" wrapText="1"/>
    </x:xf>
    <x:xf numFmtId="0" fontId="33" fillId="20" borderId="20" xfId="0" applyNumberFormat="1" applyFont="1" applyFill="1" applyBorder="1" applyAlignment="1">
      <x:alignment vertical="center" wrapText="1"/>
    </x:xf>
    <x:xf numFmtId="0" fontId="28" fillId="47" borderId="21" xfId="0" applyNumberFormat="1" applyFont="1" applyFill="1" applyBorder="1" applyAlignment="1">
      <x:alignment vertical="center" wrapText="1"/>
    </x:xf>
    <x:xf numFmtId="0" fontId="28" fillId="47" borderId="22" xfId="0" applyNumberFormat="1" applyFont="1" applyFill="1" applyBorder="1" applyAlignment="1">
      <x:alignment vertical="center" wrapText="1"/>
    </x:xf>
    <x:xf numFmtId="0" fontId="28" fillId="47" borderId="19" xfId="0" applyNumberFormat="1" applyFont="1" applyFill="1" applyBorder="1" applyAlignment="1">
      <x:alignment vertical="center" wrapText="1"/>
    </x:xf>
    <x:xf numFmtId="0" fontId="28" fillId="47" borderId="20" xfId="0" applyNumberFormat="1" applyFont="1" applyFill="1" applyBorder="1" applyAlignment="1">
      <x:alignment vertical="center" wrapText="1"/>
    </x:xf>
    <x:xf numFmtId="0" fontId="34" fillId="47" borderId="21" xfId="0" applyNumberFormat="1" applyFont="1" applyFill="1" applyBorder="1" applyAlignment="1">
      <x:alignment vertical="center" wrapText="1"/>
    </x:xf>
    <x:xf numFmtId="0" fontId="34" fillId="47" borderId="22" xfId="0" applyNumberFormat="1" applyFont="1" applyFill="1" applyBorder="1" applyAlignment="1">
      <x:alignment vertical="center" wrapText="1"/>
    </x:xf>
    <x:xf numFmtId="0" fontId="34" fillId="47" borderId="19" xfId="0" applyNumberFormat="1" applyFont="1" applyFill="1" applyBorder="1" applyAlignment="1">
      <x:alignment vertical="center" wrapText="1"/>
    </x:xf>
    <x:xf numFmtId="0" fontId="34" fillId="47" borderId="20" xfId="0" applyNumberFormat="1" applyFont="1" applyFill="1" applyBorder="1" applyAlignment="1">
      <x:alignment vertical="center" wrapText="1"/>
    </x:xf>
    <x:xf numFmtId="0" fontId="41" fillId="47" borderId="21" xfId="0" applyNumberFormat="1" applyFont="1" applyFill="1" applyBorder="1" applyAlignment="1">
      <x:alignment vertical="center" wrapText="1"/>
    </x:xf>
    <x:xf numFmtId="0" fontId="41" fillId="47" borderId="22" xfId="0" applyNumberFormat="1" applyFont="1" applyFill="1" applyBorder="1" applyAlignment="1">
      <x:alignment vertical="center" wrapText="1"/>
    </x:xf>
    <x:xf numFmtId="0" fontId="41" fillId="47" borderId="19" xfId="0" applyNumberFormat="1" applyFont="1" applyFill="1" applyBorder="1" applyAlignment="1">
      <x:alignment vertical="center" wrapText="1"/>
    </x:xf>
    <x:xf numFmtId="0" fontId="41" fillId="47" borderId="20" xfId="0" applyNumberFormat="1" applyFont="1" applyFill="1" applyBorder="1" applyAlignment="1">
      <x:alignment vertical="center" wrapText="1"/>
    </x:xf>
    <x:xf numFmtId="0" fontId="41" fillId="47" borderId="67" xfId="0" applyNumberFormat="1" applyFont="1" applyFill="1" applyBorder="1" applyAlignment="1">
      <x:alignment vertical="center" wrapText="1"/>
    </x:xf>
    <x:xf numFmtId="0" fontId="41" fillId="47" borderId="68" xfId="0" applyNumberFormat="1" applyFont="1" applyFill="1" applyBorder="1" applyAlignment="1">
      <x:alignment vertical="center" wrapText="1"/>
    </x:xf>
    <x:xf numFmtId="0" fontId="41" fillId="47" borderId="47" xfId="0" applyNumberFormat="1" applyFont="1" applyFill="1" applyBorder="1" applyAlignment="1">
      <x:alignment vertical="center" wrapText="1"/>
    </x:xf>
    <x:xf numFmtId="0" fontId="41" fillId="47" borderId="48" xfId="0" applyNumberFormat="1" applyFont="1" applyFill="1" applyBorder="1" applyAlignment="1">
      <x:alignment vertical="center" wrapText="1"/>
    </x:xf>
    <x:xf numFmtId="0" fontId="41" fillId="47" borderId="41" xfId="0" applyNumberFormat="1" applyFont="1" applyFill="1" applyBorder="1" applyAlignment="1">
      <x:alignment vertical="center" wrapText="1"/>
    </x:xf>
    <x:xf numFmtId="0" fontId="41" fillId="47" borderId="42" xfId="0" applyNumberFormat="1" applyFont="1" applyFill="1" applyBorder="1" applyAlignment="1">
      <x:alignment vertical="center" wrapText="1"/>
    </x:xf>
    <x:xf numFmtId="0" fontId="41" fillId="47" borderId="37" xfId="0" applyNumberFormat="1" applyFont="1" applyFill="1" applyBorder="1" applyAlignment="1">
      <x:alignment vertical="center" wrapText="1"/>
    </x:xf>
    <x:xf numFmtId="0" fontId="41" fillId="47" borderId="38" xfId="0" applyNumberFormat="1" applyFont="1" applyFill="1" applyBorder="1" applyAlignment="1">
      <x:alignment vertical="center" wrapText="1"/>
    </x:xf>
    <x:xf numFmtId="0" fontId="41" fillId="47" borderId="67" xfId="0" applyNumberFormat="1" applyFont="1" applyFill="1" applyBorder="1" applyAlignment="1">
      <x:alignment horizontal="left" vertical="center" wrapText="1"/>
    </x:xf>
    <x:xf numFmtId="0" fontId="41" fillId="47" borderId="68" xfId="0" applyNumberFormat="1" applyFont="1" applyFill="1" applyBorder="1" applyAlignment="1">
      <x:alignment horizontal="left" vertical="center" wrapText="1"/>
    </x:xf>
    <x:xf numFmtId="0" fontId="41" fillId="47" borderId="47" xfId="0" applyNumberFormat="1" applyFont="1" applyFill="1" applyBorder="1" applyAlignment="1">
      <x:alignment horizontal="left" vertical="center" wrapText="1"/>
    </x:xf>
    <x:xf numFmtId="0" fontId="41" fillId="47" borderId="48" xfId="0" applyNumberFormat="1" applyFont="1" applyFill="1" applyBorder="1" applyAlignment="1">
      <x:alignment horizontal="left" vertical="center" wrapText="1"/>
    </x:xf>
    <x:xf numFmtId="0" fontId="41" fillId="47" borderId="41" xfId="0" applyNumberFormat="1" applyFont="1" applyFill="1" applyBorder="1" applyAlignment="1">
      <x:alignment horizontal="left" vertical="center" wrapText="1"/>
    </x:xf>
    <x:xf numFmtId="0" fontId="41" fillId="47" borderId="42" xfId="0" applyNumberFormat="1" applyFont="1" applyFill="1" applyBorder="1" applyAlignment="1">
      <x:alignment horizontal="left" vertical="center" wrapText="1"/>
    </x:xf>
    <x:xf numFmtId="0" fontId="41" fillId="47" borderId="37" xfId="0" applyNumberFormat="1" applyFont="1" applyFill="1" applyBorder="1" applyAlignment="1">
      <x:alignment horizontal="left" vertical="center" wrapText="1"/>
    </x:xf>
    <x:xf numFmtId="0" fontId="41" fillId="47" borderId="38" xfId="0" applyNumberFormat="1" applyFont="1" applyFill="1" applyBorder="1" applyAlignment="1">
      <x:alignment horizontal="left" vertical="center" wrapText="1"/>
    </x:xf>
    <x:xf numFmtId="0" fontId="41" fillId="47" borderId="69" xfId="0" applyNumberFormat="1" applyFont="1" applyFill="1" applyBorder="1" applyAlignment="1">
      <x:alignment vertical="center" wrapText="1"/>
    </x:xf>
    <x:xf numFmtId="0" fontId="41" fillId="47" borderId="70" xfId="0" applyNumberFormat="1" applyFont="1" applyFill="1" applyBorder="1" applyAlignment="1">
      <x:alignment vertical="center" wrapText="1"/>
    </x:xf>
    <x:xf numFmtId="0" fontId="41" fillId="47" borderId="43" xfId="0" applyNumberFormat="1" applyFont="1" applyFill="1" applyBorder="1" applyAlignment="1">
      <x:alignment vertical="center" wrapText="1"/>
    </x:xf>
    <x:xf numFmtId="0" fontId="41" fillId="47" borderId="44" xfId="0" applyNumberFormat="1" applyFont="1" applyFill="1" applyBorder="1" applyAlignment="1">
      <x:alignment vertical="center" wrapText="1"/>
    </x:xf>
    <x:xf numFmtId="0" fontId="41" fillId="47" borderId="69" xfId="0" applyNumberFormat="1" applyFont="1" applyFill="1" applyBorder="1" applyAlignment="1">
      <x:alignment horizontal="left" vertical="center" wrapText="1"/>
    </x:xf>
    <x:xf numFmtId="0" fontId="41" fillId="47" borderId="70" xfId="0" applyNumberFormat="1" applyFont="1" applyFill="1" applyBorder="1" applyAlignment="1">
      <x:alignment horizontal="left" vertical="center" wrapText="1"/>
    </x:xf>
    <x:xf numFmtId="0" fontId="41" fillId="47" borderId="43" xfId="0" applyNumberFormat="1" applyFont="1" applyFill="1" applyBorder="1" applyAlignment="1">
      <x:alignment horizontal="left" vertical="center" wrapText="1"/>
    </x:xf>
    <x:xf numFmtId="0" fontId="41" fillId="47" borderId="44" xfId="0" applyNumberFormat="1" applyFont="1" applyFill="1" applyBorder="1" applyAlignment="1">
      <x:alignment horizontal="left" vertical="center" wrapText="1"/>
    </x:xf>
    <x:xf numFmtId="0" fontId="34" fillId="20" borderId="21" xfId="0" applyNumberFormat="1" applyFont="1" applyFill="1" applyBorder="1" applyAlignment="1">
      <x:alignment vertical="center" wrapText="1"/>
    </x:xf>
    <x:xf numFmtId="0" fontId="34" fillId="20" borderId="22" xfId="0" applyNumberFormat="1" applyFont="1" applyFill="1" applyBorder="1" applyAlignment="1">
      <x:alignment vertical="center" wrapText="1"/>
    </x:xf>
    <x:xf numFmtId="0" fontId="34" fillId="20" borderId="19" xfId="0" applyNumberFormat="1" applyFont="1" applyFill="1" applyBorder="1" applyAlignment="1">
      <x:alignment vertical="center" wrapText="1"/>
    </x:xf>
    <x:xf numFmtId="0" fontId="34" fillId="20" borderId="20" xfId="0" applyNumberFormat="1" applyFont="1" applyFill="1" applyBorder="1" applyAlignment="1">
      <x:alignment vertical="center" wrapText="1"/>
    </x:xf>
    <x:xf numFmtId="0" fontId="28" fillId="48" borderId="21" xfId="0" applyNumberFormat="1" applyFont="1" applyFill="1" applyBorder="1" applyAlignment="1">
      <x:alignment vertical="center" wrapText="1"/>
    </x:xf>
    <x:xf numFmtId="0" fontId="28" fillId="48" borderId="22" xfId="0" applyNumberFormat="1" applyFont="1" applyFill="1" applyBorder="1" applyAlignment="1">
      <x:alignment vertical="center" wrapText="1"/>
    </x:xf>
    <x:xf numFmtId="0" fontId="28" fillId="48" borderId="19" xfId="0" applyNumberFormat="1" applyFont="1" applyFill="1" applyBorder="1" applyAlignment="1">
      <x:alignment vertical="center" wrapText="1"/>
    </x:xf>
    <x:xf numFmtId="0" fontId="28" fillId="48" borderId="20" xfId="0" applyNumberFormat="1" applyFont="1" applyFill="1" applyBorder="1" applyAlignment="1">
      <x:alignment vertical="center" wrapText="1"/>
    </x:xf>
    <x:xf numFmtId="0" fontId="35" fillId="48" borderId="21" xfId="0" applyNumberFormat="1" applyFont="1" applyFill="1" applyBorder="1" applyAlignment="1">
      <x:alignment vertical="center" wrapText="1"/>
    </x:xf>
    <x:xf numFmtId="0" fontId="35" fillId="48" borderId="22" xfId="0" applyNumberFormat="1" applyFont="1" applyFill="1" applyBorder="1" applyAlignment="1">
      <x:alignment vertical="center" wrapText="1"/>
    </x:xf>
    <x:xf numFmtId="0" fontId="35" fillId="48" borderId="19" xfId="0" applyNumberFormat="1" applyFont="1" applyFill="1" applyBorder="1" applyAlignment="1">
      <x:alignment vertical="center" wrapText="1"/>
    </x:xf>
    <x:xf numFmtId="0" fontId="35" fillId="48" borderId="20" xfId="0" applyNumberFormat="1" applyFont="1" applyFill="1" applyBorder="1" applyAlignment="1">
      <x:alignment vertical="center" wrapText="1"/>
    </x:xf>
    <x:xf numFmtId="0" fontId="41" fillId="48" borderId="21" xfId="0" applyNumberFormat="1" applyFont="1" applyFill="1" applyBorder="1" applyAlignment="1">
      <x:alignment vertical="center" wrapText="1"/>
    </x:xf>
    <x:xf numFmtId="0" fontId="41" fillId="48" borderId="22" xfId="0" applyNumberFormat="1" applyFont="1" applyFill="1" applyBorder="1" applyAlignment="1">
      <x:alignment vertical="center" wrapText="1"/>
    </x:xf>
    <x:xf numFmtId="0" fontId="41" fillId="48" borderId="19" xfId="0" applyNumberFormat="1" applyFont="1" applyFill="1" applyBorder="1" applyAlignment="1">
      <x:alignment vertical="center" wrapText="1"/>
    </x:xf>
    <x:xf numFmtId="0" fontId="41" fillId="48" borderId="20" xfId="0" applyNumberFormat="1" applyFont="1" applyFill="1" applyBorder="1" applyAlignment="1">
      <x:alignment vertical="center" wrapText="1"/>
    </x:xf>
    <x:xf numFmtId="0" fontId="41" fillId="48" borderId="71" xfId="0" applyNumberFormat="1" applyFont="1" applyFill="1" applyBorder="1" applyAlignment="1">
      <x:alignment vertical="center" wrapText="1"/>
    </x:xf>
    <x:xf numFmtId="0" fontId="41" fillId="48" borderId="72" xfId="0" applyNumberFormat="1" applyFont="1" applyFill="1" applyBorder="1" applyAlignment="1">
      <x:alignment vertical="center" wrapText="1"/>
    </x:xf>
    <x:xf numFmtId="0" fontId="41" fillId="48" borderId="47" xfId="0" applyNumberFormat="1" applyFont="1" applyFill="1" applyBorder="1" applyAlignment="1">
      <x:alignment vertical="center" wrapText="1"/>
    </x:xf>
    <x:xf numFmtId="0" fontId="41" fillId="48" borderId="48" xfId="0" applyNumberFormat="1" applyFont="1" applyFill="1" applyBorder="1" applyAlignment="1">
      <x:alignment vertical="center" wrapText="1"/>
    </x:xf>
    <x:xf numFmtId="0" fontId="41" fillId="48" borderId="41" xfId="0" applyNumberFormat="1" applyFont="1" applyFill="1" applyBorder="1" applyAlignment="1">
      <x:alignment vertical="center" wrapText="1"/>
    </x:xf>
    <x:xf numFmtId="0" fontId="41" fillId="48" borderId="42" xfId="0" applyNumberFormat="1" applyFont="1" applyFill="1" applyBorder="1" applyAlignment="1">
      <x:alignment vertical="center" wrapText="1"/>
    </x:xf>
    <x:xf numFmtId="0" fontId="41" fillId="48" borderId="37" xfId="0" applyNumberFormat="1" applyFont="1" applyFill="1" applyBorder="1" applyAlignment="1">
      <x:alignment vertical="center" wrapText="1"/>
    </x:xf>
    <x:xf numFmtId="0" fontId="41" fillId="48" borderId="38" xfId="0" applyNumberFormat="1" applyFont="1" applyFill="1" applyBorder="1" applyAlignment="1">
      <x:alignment vertical="center" wrapText="1"/>
    </x:xf>
    <x:xf numFmtId="0" fontId="41" fillId="48" borderId="71" xfId="0" applyNumberFormat="1" applyFont="1" applyFill="1" applyBorder="1" applyAlignment="1">
      <x:alignment horizontal="left" vertical="center" wrapText="1"/>
    </x:xf>
    <x:xf numFmtId="0" fontId="41" fillId="48" borderId="72" xfId="0" applyNumberFormat="1" applyFont="1" applyFill="1" applyBorder="1" applyAlignment="1">
      <x:alignment horizontal="left" vertical="center" wrapText="1"/>
    </x:xf>
    <x:xf numFmtId="0" fontId="41" fillId="48" borderId="47" xfId="0" applyNumberFormat="1" applyFont="1" applyFill="1" applyBorder="1" applyAlignment="1">
      <x:alignment horizontal="left" vertical="center" wrapText="1"/>
    </x:xf>
    <x:xf numFmtId="0" fontId="41" fillId="48" borderId="48" xfId="0" applyNumberFormat="1" applyFont="1" applyFill="1" applyBorder="1" applyAlignment="1">
      <x:alignment horizontal="left" vertical="center" wrapText="1"/>
    </x:xf>
    <x:xf numFmtId="0" fontId="41" fillId="48" borderId="41" xfId="0" applyNumberFormat="1" applyFont="1" applyFill="1" applyBorder="1" applyAlignment="1">
      <x:alignment horizontal="left" vertical="center" wrapText="1"/>
    </x:xf>
    <x:xf numFmtId="0" fontId="41" fillId="48" borderId="42" xfId="0" applyNumberFormat="1" applyFont="1" applyFill="1" applyBorder="1" applyAlignment="1">
      <x:alignment horizontal="left" vertical="center" wrapText="1"/>
    </x:xf>
    <x:xf numFmtId="0" fontId="41" fillId="48" borderId="37" xfId="0" applyNumberFormat="1" applyFont="1" applyFill="1" applyBorder="1" applyAlignment="1">
      <x:alignment horizontal="left" vertical="center" wrapText="1"/>
    </x:xf>
    <x:xf numFmtId="0" fontId="41" fillId="48" borderId="38" xfId="0" applyNumberFormat="1" applyFont="1" applyFill="1" applyBorder="1" applyAlignment="1">
      <x:alignment horizontal="left" vertical="center" wrapText="1"/>
    </x:xf>
    <x:xf numFmtId="0" fontId="41" fillId="48" borderId="73" xfId="0" applyNumberFormat="1" applyFont="1" applyFill="1" applyBorder="1" applyAlignment="1">
      <x:alignment vertical="center" wrapText="1"/>
    </x:xf>
    <x:xf numFmtId="0" fontId="41" fillId="48" borderId="74" xfId="0" applyNumberFormat="1" applyFont="1" applyFill="1" applyBorder="1" applyAlignment="1">
      <x:alignment vertical="center" wrapText="1"/>
    </x:xf>
    <x:xf numFmtId="0" fontId="41" fillId="48" borderId="43" xfId="0" applyNumberFormat="1" applyFont="1" applyFill="1" applyBorder="1" applyAlignment="1">
      <x:alignment vertical="center" wrapText="1"/>
    </x:xf>
    <x:xf numFmtId="0" fontId="41" fillId="48" borderId="44" xfId="0" applyNumberFormat="1" applyFont="1" applyFill="1" applyBorder="1" applyAlignment="1">
      <x:alignment vertical="center" wrapText="1"/>
    </x:xf>
    <x:xf numFmtId="0" fontId="41" fillId="48" borderId="73" xfId="0" applyNumberFormat="1" applyFont="1" applyFill="1" applyBorder="1" applyAlignment="1">
      <x:alignment horizontal="left" vertical="center" wrapText="1"/>
    </x:xf>
    <x:xf numFmtId="0" fontId="41" fillId="48" borderId="74" xfId="0" applyNumberFormat="1" applyFont="1" applyFill="1" applyBorder="1" applyAlignment="1">
      <x:alignment horizontal="left" vertical="center" wrapText="1"/>
    </x:xf>
    <x:xf numFmtId="0" fontId="41" fillId="48" borderId="43" xfId="0" applyNumberFormat="1" applyFont="1" applyFill="1" applyBorder="1" applyAlignment="1">
      <x:alignment horizontal="left" vertical="center" wrapText="1"/>
    </x:xf>
    <x:xf numFmtId="0" fontId="41" fillId="48" borderId="44" xfId="0" applyNumberFormat="1" applyFont="1" applyFill="1" applyBorder="1" applyAlignment="1">
      <x:alignment horizontal="left" vertical="center" wrapText="1"/>
    </x:xf>
    <x:xf numFmtId="0" fontId="35" fillId="20" borderId="21" xfId="0" applyNumberFormat="1" applyFont="1" applyFill="1" applyBorder="1" applyAlignment="1">
      <x:alignment vertical="center" wrapText="1"/>
    </x:xf>
    <x:xf numFmtId="0" fontId="35" fillId="20" borderId="22" xfId="0" applyNumberFormat="1" applyFont="1" applyFill="1" applyBorder="1" applyAlignment="1">
      <x:alignment vertical="center" wrapText="1"/>
    </x:xf>
    <x:xf numFmtId="0" fontId="35" fillId="20" borderId="19" xfId="0" applyNumberFormat="1" applyFont="1" applyFill="1" applyBorder="1" applyAlignment="1">
      <x:alignment vertical="center" wrapText="1"/>
    </x:xf>
    <x:xf numFmtId="0" fontId="35" fillId="20" borderId="20" xfId="0" applyNumberFormat="1" applyFont="1" applyFill="1" applyBorder="1" applyAlignment="1">
      <x:alignment vertical="center" wrapText="1"/>
    </x:xf>
    <x:xf numFmtId="0" fontId="27" fillId="33" borderId="19" xfId="0" applyNumberFormat="1" applyFont="1" applyFill="1" applyBorder="1" applyAlignment="1">
      <x:alignment vertical="center" wrapText="1"/>
    </x:xf>
    <x:xf numFmtId="0" fontId="27" fillId="33" borderId="20" xfId="0" applyNumberFormat="1" applyFont="1" applyFill="1" applyBorder="1" applyAlignment="1">
      <x:alignment vertical="center" wrapText="1"/>
    </x:xf>
    <x:xf numFmtId="0" fontId="31" fillId="33" borderId="19" xfId="0" applyNumberFormat="1" applyFont="1" applyFill="1" applyBorder="1" applyAlignment="1">
      <x:alignment vertical="center" wrapText="1"/>
    </x:xf>
    <x:xf numFmtId="0" fontId="31" fillId="33" borderId="20" xfId="0" applyNumberFormat="1" applyFont="1" applyFill="1" applyBorder="1" applyAlignment="1">
      <x:alignment vertical="center" wrapText="1"/>
    </x:xf>
    <x:xf numFmtId="0" fontId="32" fillId="33" borderId="19" xfId="0" applyNumberFormat="1" applyFont="1" applyFill="1" applyBorder="1" applyAlignment="1">
      <x:alignment vertical="center" wrapText="1"/>
    </x:xf>
    <x:xf numFmtId="0" fontId="32" fillId="33" borderId="20" xfId="0" applyNumberFormat="1" applyFont="1" applyFill="1" applyBorder="1" applyAlignment="1">
      <x:alignment vertical="center" wrapText="1"/>
    </x:xf>
    <x:xf numFmtId="0" fontId="33" fillId="33" borderId="19" xfId="0" applyNumberFormat="1" applyFont="1" applyFill="1" applyBorder="1" applyAlignment="1">
      <x:alignment vertical="center" wrapText="1"/>
    </x:xf>
    <x:xf numFmtId="0" fontId="33" fillId="33" borderId="20" xfId="0" applyNumberFormat="1" applyFont="1" applyFill="1" applyBorder="1" applyAlignment="1">
      <x:alignment vertical="center" wrapText="1"/>
    </x:xf>
    <x:xf numFmtId="0" fontId="34" fillId="33" borderId="19" xfId="0" applyNumberFormat="1" applyFont="1" applyFill="1" applyBorder="1" applyAlignment="1">
      <x:alignment vertical="center" wrapText="1"/>
    </x:xf>
    <x:xf numFmtId="0" fontId="34" fillId="33" borderId="20" xfId="0" applyNumberFormat="1" applyFont="1" applyFill="1" applyBorder="1" applyAlignment="1">
      <x:alignment vertical="center" wrapText="1"/>
    </x:xf>
    <x:xf numFmtId="0" fontId="35" fillId="33" borderId="19" xfId="0" applyNumberFormat="1" applyFont="1" applyFill="1" applyBorder="1" applyAlignment="1">
      <x:alignment vertical="center" wrapText="1"/>
    </x:xf>
    <x:xf numFmtId="0" fontId="35" fillId="33" borderId="20" xfId="0" applyNumberFormat="1" applyFont="1" applyFill="1" applyBorder="1" applyAlignment="1">
      <x:alignment vertical="center" wrapText="1"/>
    </x:xf>
    <x:xf numFmtId="0" fontId="1" fillId="33" borderId="19" xfId="0" applyNumberFormat="1" applyFont="1" applyFill="1" applyBorder="1" applyAlignment="1">
      <x:alignment vertical="center" wrapText="1"/>
    </x:xf>
    <x:xf numFmtId="0" fontId="1" fillId="33" borderId="20" xfId="0" applyNumberFormat="1" applyFont="1" applyFill="1" applyBorder="1" applyAlignment="1">
      <x:alignment vertical="center" wrapText="1"/>
    </x:xf>
    <x:xf numFmtId="0" fontId="1" fillId="33" borderId="19" xfId="0" applyNumberFormat="1" applyFont="1" applyFill="1" applyBorder="1" applyAlignment="1">
      <x:alignment horizontal="left" vertical="center" wrapText="1"/>
    </x:xf>
    <x:xf numFmtId="0" fontId="1" fillId="33" borderId="20" xfId="0" applyNumberFormat="1" applyFont="1" applyFill="1" applyBorder="1" applyAlignment="1">
      <x:alignment horizontal="left" vertical="center" wrapText="1"/>
    </x:xf>
    <x:xf numFmtId="0" fontId="29" fillId="49" borderId="17" xfId="0" applyNumberFormat="1" applyFont="1" applyFill="1" applyBorder="1" applyAlignment="1">
      <x:alignment vertical="center" wrapText="1"/>
    </x:xf>
    <x:xf numFmtId="0" fontId="29" fillId="49" borderId="18" xfId="0" applyNumberFormat="1" applyFont="1" applyFill="1" applyBorder="1" applyAlignment="1">
      <x:alignment vertical="center" wrapText="1"/>
    </x:xf>
    <x:xf numFmtId="0" fontId="43" fillId="49" borderId="17" xfId="0" applyNumberFormat="1" applyFont="1" applyFill="1" applyBorder="1" applyAlignment="1">
      <x:alignment vertical="center" wrapText="1"/>
    </x:xf>
    <x:xf numFmtId="0" fontId="43" fillId="49" borderId="18" xfId="0" applyNumberFormat="1" applyFont="1" applyFill="1" applyBorder="1" applyAlignment="1">
      <x:alignment vertical="center" wrapText="1"/>
    </x:xf>
    <x:xf numFmtId="0" fontId="43" fillId="49" borderId="17" xfId="0" applyNumberFormat="1" applyFont="1" applyFill="1" applyBorder="1" applyAlignment="1">
      <x:alignment horizontal="center" vertical="center" wrapText="1"/>
    </x:xf>
    <x:xf numFmtId="0" fontId="43" fillId="49" borderId="18" xfId="0" applyNumberFormat="1" applyFont="1" applyFill="1" applyBorder="1" applyAlignment="1">
      <x:alignment horizontal="center" vertical="center" wrapText="1"/>
    </x:xf>
    <x:xf numFmtId="0" fontId="29" fillId="49" borderId="21" xfId="0" applyNumberFormat="1" applyFont="1" applyFill="1" applyBorder="1" applyAlignment="1">
      <x:alignment vertical="center" wrapText="1"/>
    </x:xf>
    <x:xf numFmtId="0" fontId="29" fillId="49" borderId="22" xfId="0" applyNumberFormat="1" applyFont="1" applyFill="1" applyBorder="1" applyAlignment="1">
      <x:alignment vertical="center" wrapText="1"/>
    </x:xf>
    <x:xf numFmtId="0" fontId="43" fillId="49" borderId="21" xfId="0" applyNumberFormat="1" applyFont="1" applyFill="1" applyBorder="1" applyAlignment="1">
      <x:alignment vertical="center" wrapText="1"/>
    </x:xf>
    <x:xf numFmtId="0" fontId="43" fillId="49" borderId="22" xfId="0" applyNumberFormat="1" applyFont="1" applyFill="1" applyBorder="1" applyAlignment="1">
      <x:alignment vertical="center" wrapText="1"/>
    </x:xf>
    <x:xf numFmtId="0" fontId="43" fillId="49" borderId="21" xfId="0" applyNumberFormat="1" applyFont="1" applyFill="1" applyBorder="1" applyAlignment="1">
      <x:alignment horizontal="center" vertical="center" wrapText="1"/>
    </x:xf>
    <x:xf numFmtId="0" fontId="43" fillId="49" borderId="22" xfId="0" applyNumberFormat="1" applyFont="1" applyFill="1" applyBorder="1" applyAlignment="1">
      <x:alignment horizontal="center" vertical="center" wrapText="1"/>
    </x:xf>
    <x:xf numFmtId="0" fontId="28" fillId="49" borderId="21" xfId="0" applyNumberFormat="1" applyFont="1" applyFill="1" applyBorder="1" applyAlignment="1">
      <x:alignment vertical="center" wrapText="1"/>
    </x:xf>
    <x:xf numFmtId="0" fontId="28" fillId="49" borderId="22" xfId="0" applyNumberFormat="1" applyFont="1" applyFill="1" applyBorder="1" applyAlignment="1">
      <x:alignment vertical="center" wrapText="1"/>
    </x:xf>
    <x:xf numFmtId="200" fontId="28" fillId="20" borderId="19" xfId="0" applyNumberFormat="1" applyFont="1" applyFill="1" applyBorder="1" applyAlignment="1">
      <x:alignment vertical="center" wrapText="1"/>
    </x:xf>
    <x:xf numFmtId="0" fontId="27" fillId="20" borderId="21" xfId="0" applyNumberFormat="1" applyFont="1" applyFill="1" applyBorder="1" applyAlignment="1">
      <x:alignment vertical="center" wrapText="1"/>
    </x:xf>
    <x:xf numFmtId="0" fontId="27" fillId="20" borderId="22" xfId="0" applyNumberFormat="1" applyFont="1" applyFill="1" applyBorder="1" applyAlignment="1">
      <x:alignment vertical="center" wrapText="1"/>
    </x:xf>
    <x:xf numFmtId="0" fontId="44" fillId="20" borderId="19" xfId="0" applyNumberFormat="1" applyFont="1" applyFill="1" applyBorder="1" applyAlignment="1">
      <x:alignment vertical="center" wrapText="1"/>
    </x:xf>
    <x:xf numFmtId="0" fontId="44" fillId="20" borderId="20" xfId="0" applyNumberFormat="1" applyFont="1" applyFill="1" applyBorder="1" applyAlignment="1">
      <x:alignment vertical="center" wrapText="1"/>
    </x:xf>
    <x:xf numFmtId="0" fontId="44" fillId="20" borderId="21" xfId="0" applyNumberFormat="1" applyFont="1" applyFill="1" applyBorder="1" applyAlignment="1">
      <x:alignment vertical="center" wrapText="1"/>
    </x:xf>
    <x:xf numFmtId="0" fontId="44" fillId="20" borderId="22" xfId="0" applyNumberFormat="1" applyFont="1" applyFill="1" applyBorder="1" applyAlignment="1">
      <x:alignment vertical="center" wrapText="1"/>
    </x:xf>
    <x:xf numFmtId="0" fontId="44" fillId="20" borderId="75" xfId="0" applyNumberFormat="1" applyFont="1" applyFill="1" applyBorder="1" applyAlignment="1">
      <x:alignment vertical="center" wrapText="1"/>
    </x:xf>
    <x:xf numFmtId="0" fontId="44" fillId="20" borderId="76" xfId="0" applyNumberFormat="1" applyFont="1" applyFill="1" applyBorder="1" applyAlignment="1">
      <x:alignment vertical="center" wrapText="1"/>
    </x:xf>
    <x:xf numFmtId="0" fontId="44" fillId="20" borderId="77" xfId="0" applyNumberFormat="1" applyFont="1" applyFill="1" applyBorder="1" applyAlignment="1">
      <x:alignment vertical="center" wrapText="1"/>
    </x:xf>
    <x:xf numFmtId="0" fontId="44" fillId="20" borderId="78" xfId="0" applyNumberFormat="1" applyFont="1" applyFill="1" applyBorder="1" applyAlignment="1">
      <x:alignment vertical="center" wrapText="1"/>
    </x:xf>
    <x:xf numFmtId="0" fontId="44" fillId="20" borderId="75" xfId="0" applyNumberFormat="1" applyFont="1" applyFill="1" applyBorder="1" applyAlignment="1">
      <x:alignment horizontal="center" vertical="center" wrapText="1"/>
    </x:xf>
    <x:xf numFmtId="0" fontId="44" fillId="20" borderId="76" xfId="0" applyNumberFormat="1" applyFont="1" applyFill="1" applyBorder="1" applyAlignment="1">
      <x:alignment horizontal="center" vertical="center" wrapText="1"/>
    </x:xf>
    <x:xf numFmtId="0" fontId="44" fillId="20" borderId="77" xfId="0" applyNumberFormat="1" applyFont="1" applyFill="1" applyBorder="1" applyAlignment="1">
      <x:alignment horizontal="center" vertical="center" wrapText="1"/>
    </x:xf>
    <x:xf numFmtId="0" fontId="44" fillId="20" borderId="78" xfId="0" applyNumberFormat="1" applyFont="1" applyFill="1" applyBorder="1" applyAlignment="1">
      <x:alignment horizontal="center" vertical="center" wrapText="1"/>
    </x:xf>
    <x:xf numFmtId="200" fontId="44" fillId="20" borderId="19" xfId="0" applyNumberFormat="1" applyFont="1" applyFill="1" applyBorder="1" applyAlignment="1">
      <x:alignment vertical="center" wrapText="1"/>
    </x:xf>
    <x:xf numFmtId="200" fontId="44" fillId="20" borderId="75" xfId="0" applyNumberFormat="1" applyFont="1" applyFill="1" applyBorder="1" applyAlignment="1">
      <x:alignment vertical="center" wrapText="1"/>
    </x:xf>
    <x:xf numFmtId="200" fontId="44" fillId="20" borderId="7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9" fillId="15" borderId="0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 applyAlignment="1">
      <x:alignment horizontal="center" vertic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12" fillId="17" borderId="0" xfId="0" applyNumberFormat="1" applyFont="1" applyFill="1" applyBorder="1" applyAlignment="1">
      <x:alignment horizontal="center" vertical="center" wrapText="1"/>
    </x:xf>
    <x:xf numFmtId="0" fontId="13" fillId="18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/>
    </x:xf>
    <x:xf numFmtId="0" fontId="0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0" xfId="0" applyNumberFormat="1" applyFont="1" applyFill="1" applyBorder="1" applyAlignment="1">
      <x:alignment horizontal="center" vertical="center"/>
    </x:xf>
    <x:xf numFmtId="0" fontId="19" fillId="2" borderId="0" xfId="0" applyNumberFormat="1" applyFont="1" applyFill="1" applyBorder="1" applyAlignment="1">
      <x:alignment vertical="top"/>
    </x:xf>
    <x:xf numFmtId="0" fontId="19" fillId="2" borderId="0" xfId="0" applyNumberFormat="1" applyFont="1" applyFill="1" applyBorder="1" applyAlignment="1">
      <x:alignment horizontal="center" vertical="top"/>
    </x:xf>
    <x:xf numFmtId="0" fontId="19" fillId="2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vertical="top"/>
    </x:xf>
    <x:xf numFmtId="0" fontId="20" fillId="7" borderId="0" xfId="0" applyNumberFormat="1" applyFont="1" applyFill="1" applyBorder="1" applyAlignment="1">
      <x:alignment vertical="top"/>
    </x:xf>
    <x:xf numFmtId="0" fontId="20" fillId="7" borderId="0" xfId="0" applyNumberFormat="1" applyFont="1" applyFill="1" applyBorder="1" applyAlignment="1">
      <x:alignment vertical="top" wrapText="1"/>
    </x:xf>
    <x:xf numFmtId="0" fontId="20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top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horizontal="left" vertical="top" wrapText="1"/>
    </x:xf>
    <x:xf numFmtId="0" fontId="7" fillId="7" borderId="0" xfId="0" applyNumberFormat="1" applyFont="1" applyFill="1" applyBorder="1" applyAlignment="1">
      <x:alignment horizontal="left" vertical="top"/>
    </x:xf>
    <x:xf numFmtId="0" fontId="1" fillId="2" xfId="0" applyNumberFormat="1" applyFont="1" applyFill="1" applyBorder="0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horizontal="left" vertical="top"/>
    </x:xf>
    <x:xf numFmtId="0" fontId="9" fillId="29" borderId="0" xfId="0" applyNumberFormat="1" applyFont="1" applyFill="1" applyBorder="1" applyAlignment="1">
      <x:alignment horizontal="center" vertical="center" wrapText="1"/>
    </x:xf>
    <x:xf numFmtId="0" fontId="10" fillId="30" borderId="0" xfId="0" applyNumberFormat="1" applyFont="1" applyFill="1" applyBorder="1" applyAlignment="1">
      <x:alignment horizontal="center" vertical="center" wrapText="1"/>
    </x:xf>
    <x:xf numFmtId="0" fontId="24" fillId="30" borderId="0" xfId="0" applyNumberFormat="1" applyFont="1" applyFill="1" applyBorder="1" applyAlignment="1">
      <x:alignment horizontal="center" vertical="center" wrapText="1"/>
    </x:xf>
    <x:xf numFmtId="0" fontId="12" fillId="31" borderId="0" xfId="0" applyNumberFormat="1" applyFont="1" applyFill="1" applyBorder="1" applyAlignment="1">
      <x:alignment horizontal="center" vertical="center" wrapText="1"/>
    </x:xf>
    <x:xf numFmtId="0" fontId="25" fillId="31" borderId="0" xfId="0" applyNumberFormat="1" applyFont="1" applyFill="1" applyBorder="1" applyAlignment="1">
      <x:alignment horizontal="center" vertical="center" wrapText="1"/>
    </x:xf>
    <x:xf numFmtId="0" fontId="13" fillId="32" borderId="0" xfId="0" applyNumberFormat="1" applyFont="1" applyFill="1" applyBorder="1" applyAlignment="1">
      <x:alignment horizontal="center" vertical="center" wrapText="1"/>
    </x:xf>
    <x:xf numFmtId="0" fontId="14" fillId="14" borderId="0" xfId="0" applyNumberFormat="1" applyFont="1" applyFill="1" applyBorder="1" applyAlignment="1">
      <x:alignment vertical="top" wrapText="1"/>
    </x:xf>
    <x:xf numFmtId="0" fontId="15" fillId="14" borderId="0" xfId="0" applyNumberFormat="1" applyFont="1" applyFill="1" applyBorder="1" applyAlignment="1">
      <x:alignment vertical="top" wrapText="1"/>
    </x:xf>
    <x:xf numFmtId="0" fontId="26" fillId="14" borderId="0" xfId="0" applyNumberFormat="1" applyFont="1" applyFill="1" applyBorder="1" applyAlignment="1">
      <x:alignment vertical="top" wrapText="1"/>
    </x:xf>
    <x:xf numFmtId="0" fontId="27" fillId="14" borderId="0" xfId="0" applyNumberFormat="1" applyFont="1" applyFill="1" applyBorder="1" applyAlignment="1">
      <x:alignment vertical="top" wrapText="1"/>
    </x:xf>
    <x:xf numFmtId="0" fontId="26" fillId="14" borderId="0" xfId="0" applyNumberFormat="1" applyFont="1" applyFill="1" applyBorder="1" applyAlignment="1">
      <x:alignment vertical="center" wrapText="1"/>
    </x:xf>
    <x:xf numFmtId="0" fontId="27" fillId="14" borderId="0" xfId="0" applyNumberFormat="1" applyFont="1" applyFill="1" applyBorder="1" applyAlignment="1">
      <x:alignment vertical="center" wrapText="1"/>
    </x:xf>
    <x:xf numFmtId="0" fontId="14" fillId="4" borderId="0" xfId="0" applyNumberFormat="1" applyFont="1" applyFill="1" applyBorder="1" applyAlignment="1">
      <x:alignment vertical="top" wrapText="1"/>
    </x:xf>
    <x:xf numFmtId="0" fontId="28" fillId="4" borderId="0" xfId="0" applyNumberFormat="1" applyFont="1" applyFill="1" applyBorder="1" applyAlignment="1">
      <x:alignment vertical="top"/>
    </x:xf>
    <x:xf numFmtId="0" fontId="29" fillId="4" borderId="0" xfId="0" applyNumberFormat="1" applyFont="1" applyFill="1" applyBorder="1" applyAlignment="1">
      <x:alignment vertical="top" wrapText="1"/>
    </x:xf>
    <x:xf numFmtId="0" fontId="28" fillId="4" borderId="0" xfId="0" applyNumberFormat="1" applyFont="1" applyFill="1" applyBorder="1" applyAlignment="1">
      <x:alignment vertical="top" wrapText="1"/>
    </x:xf>
    <x:xf numFmtId="0" fontId="28" fillId="4" borderId="0" xfId="0" applyNumberFormat="1" applyFont="1" applyFill="1" applyBorder="1" applyAlignment="1">
      <x:alignment vertical="center" wrapText="1"/>
    </x:xf>
    <x:xf numFmtId="0" fontId="29" fillId="4" borderId="0" xfId="0" applyNumberFormat="1" applyFont="1" applyFill="1" applyBorder="1" applyAlignment="1">
      <x:alignment vertical="center" wrapText="1"/>
    </x:xf>
    <x:xf numFmtId="0" fontId="17" fillId="29" borderId="0" xfId="0" applyNumberFormat="1" applyFont="1" applyFill="1" applyBorder="1" applyAlignment="1">
      <x:alignment vertical="top" wrapText="1"/>
    </x:xf>
    <x:xf numFmtId="0" fontId="15" fillId="29" borderId="0" xfId="0" applyNumberFormat="1" applyFont="1" applyFill="1" applyBorder="1" applyAlignment="1">
      <x:alignment vertical="top" wrapText="1"/>
    </x:xf>
    <x:xf numFmtId="0" fontId="30" fillId="29" borderId="0" xfId="0" applyNumberFormat="1" applyFont="1" applyFill="1" applyBorder="1" applyAlignment="1">
      <x:alignment vertical="top" wrapText="1"/>
    </x:xf>
    <x:xf numFmtId="0" fontId="31" fillId="29" borderId="0" xfId="0" applyNumberFormat="1" applyFont="1" applyFill="1" applyBorder="1" applyAlignment="1">
      <x:alignment vertical="top" wrapText="1"/>
    </x:xf>
    <x:xf numFmtId="0" fontId="30" fillId="29" borderId="0" xfId="0" applyNumberFormat="1" applyFont="1" applyFill="1" applyBorder="1" applyAlignment="1">
      <x:alignment vertical="center" wrapText="1"/>
    </x:xf>
    <x:xf numFmtId="0" fontId="31" fillId="29" borderId="0" xfId="0" applyNumberFormat="1" applyFont="1" applyFill="1" applyBorder="1" applyAlignment="1">
      <x:alignment vertical="center" wrapText="1"/>
    </x:xf>
    <x:xf numFmtId="0" fontId="17" fillId="4" borderId="0" xfId="0" applyNumberFormat="1" applyFont="1" applyFill="1" applyBorder="1" applyAlignment="1">
      <x:alignment vertical="top" wrapText="1"/>
    </x:xf>
    <x:xf numFmtId="0" fontId="32" fillId="30" borderId="0" xfId="0" applyNumberFormat="1" applyFont="1" applyFill="1" applyBorder="1" applyAlignment="1">
      <x:alignment vertical="top" wrapText="1"/>
    </x:xf>
    <x:xf numFmtId="0" fontId="32" fillId="30" borderId="0" xfId="0" applyNumberFormat="1" applyFont="1" applyFill="1" applyBorder="1" applyAlignment="1">
      <x:alignment vertical="center" wrapText="1"/>
    </x:xf>
    <x:xf numFmtId="0" fontId="33" fillId="16" borderId="0" xfId="0" applyNumberFormat="1" applyFont="1" applyFill="1" applyBorder="1" applyAlignment="1">
      <x:alignment vertical="top" wrapText="1"/>
    </x:xf>
    <x:xf numFmtId="0" fontId="33" fillId="16" borderId="0" xfId="0" applyNumberFormat="1" applyFont="1" applyFill="1" applyBorder="1" applyAlignment="1">
      <x:alignment vertical="center" wrapText="1"/>
    </x:xf>
    <x:xf numFmtId="0" fontId="34" fillId="31" borderId="0" xfId="0" applyNumberFormat="1" applyFont="1" applyFill="1" applyBorder="1" applyAlignment="1">
      <x:alignment vertical="top" wrapText="1"/>
    </x:xf>
    <x:xf numFmtId="0" fontId="34" fillId="31" borderId="0" xfId="0" applyNumberFormat="1" applyFont="1" applyFill="1" applyBorder="1" applyAlignment="1">
      <x:alignment vertical="center" wrapText="1"/>
    </x:xf>
    <x:xf numFmtId="0" fontId="35" fillId="32" borderId="0" xfId="0" applyNumberFormat="1" applyFont="1" applyFill="1" applyBorder="1" applyAlignment="1">
      <x:alignment vertical="top" wrapText="1"/>
    </x:xf>
    <x:xf numFmtId="0" fontId="35" fillId="32" borderId="0" xfId="0" applyNumberFormat="1" applyFont="1" applyFill="1" applyBorder="1" applyAlignment="1">
      <x:alignment vertical="center" wrapText="1"/>
    </x:xf>
    <x:xf numFmtId="0" fontId="38" fillId="35" borderId="0" xfId="0" applyNumberFormat="1" applyFont="1" applyFill="1" applyBorder="1" applyAlignment="1">
      <x:alignment horizontal="center" vertical="top" wrapText="1"/>
    </x:xf>
    <x:xf numFmtId="0" fontId="38" fillId="35" borderId="0" xfId="0" applyNumberFormat="1" applyFont="1" applyFill="1" applyBorder="1" applyAlignment="1">
      <x:alignment horizontal="center" vertical="center" wrapText="1"/>
    </x:xf>
    <x:xf numFmtId="0" fontId="8" fillId="37" borderId="0" xfId="0" applyNumberFormat="1" applyFont="1" applyFill="1" applyBorder="1" applyAlignment="1">
      <x:alignment horizontal="center" vertical="center" wrapText="1"/>
    </x:xf>
    <x:xf numFmtId="0" fontId="26" fillId="37" borderId="0" xfId="0" applyNumberFormat="1" applyFont="1" applyFill="1" applyBorder="1" applyAlignment="1">
      <x:alignment vertical="center" wrapText="1"/>
    </x:xf>
    <x:xf numFmtId="0" fontId="40" fillId="37" borderId="0" xfId="0" applyNumberFormat="1" applyFont="1" applyFill="1" applyBorder="1" applyAlignment="1">
      <x:alignment horizontal="center" vertical="center" wrapText="1"/>
    </x:xf>
    <x:xf numFmtId="0" fontId="40" fillId="37" borderId="0" xfId="0" applyNumberFormat="1" applyFont="1" applyFill="1" applyBorder="1" applyAlignment="1">
      <x:alignment vertical="center" wrapText="1"/>
    </x:xf>
    <x:xf numFmtId="0" fontId="9" fillId="38" borderId="0" xfId="0" applyNumberFormat="1" applyFont="1" applyFill="1" applyBorder="1" applyAlignment="1">
      <x:alignment horizontal="center" vertical="center" wrapText="1"/>
    </x:xf>
    <x:xf numFmtId="0" fontId="30" fillId="38" borderId="0" xfId="0" applyNumberFormat="1" applyFont="1" applyFill="1" applyBorder="1" applyAlignment="1">
      <x:alignment vertical="center" wrapText="1"/>
    </x:xf>
    <x:xf numFmtId="0" fontId="40" fillId="38" borderId="0" xfId="0" applyNumberFormat="1" applyFont="1" applyFill="1" applyBorder="1" applyAlignment="1">
      <x:alignment horizontal="center" vertical="center" wrapText="1"/>
    </x:xf>
    <x:xf numFmtId="0" fontId="40" fillId="38" borderId="0" xfId="0" applyNumberFormat="1" applyFont="1" applyFill="1" applyBorder="1" applyAlignment="1">
      <x:alignment vertical="center" wrapText="1"/>
    </x:xf>
    <x:xf numFmtId="0" fontId="24" fillId="39" borderId="0" xfId="0" applyNumberFormat="1" applyFont="1" applyFill="1" applyBorder="1" applyAlignment="1">
      <x:alignment horizontal="center" vertical="center" wrapText="1"/>
    </x:xf>
    <x:xf numFmtId="0" fontId="32" fillId="39" borderId="0" xfId="0" applyNumberFormat="1" applyFont="1" applyFill="1" applyBorder="1" applyAlignment="1">
      <x:alignment vertical="center" wrapText="1"/>
    </x:xf>
    <x:xf numFmtId="0" fontId="40" fillId="39" borderId="0" xfId="0" applyNumberFormat="1" applyFont="1" applyFill="1" applyBorder="1" applyAlignment="1">
      <x:alignment horizontal="center" vertical="center" wrapText="1"/>
    </x:xf>
    <x:xf numFmtId="0" fontId="40" fillId="39" borderId="0" xfId="0" applyNumberFormat="1" applyFont="1" applyFill="1" applyBorder="1" applyAlignment="1">
      <x:alignment vertical="center" wrapText="1"/>
    </x:xf>
    <x:xf numFmtId="0" fontId="11" fillId="40" borderId="0" xfId="0" applyNumberFormat="1" applyFont="1" applyFill="1" applyBorder="1" applyAlignment="1">
      <x:alignment horizontal="center" vertical="center" wrapText="1"/>
    </x:xf>
    <x:xf numFmtId="0" fontId="33" fillId="40" borderId="0" xfId="0" applyNumberFormat="1" applyFont="1" applyFill="1" applyBorder="1" applyAlignment="1">
      <x:alignment vertical="center" wrapText="1"/>
    </x:xf>
    <x:xf numFmtId="0" fontId="40" fillId="40" borderId="0" xfId="0" applyNumberFormat="1" applyFont="1" applyFill="1" applyBorder="1" applyAlignment="1">
      <x:alignment horizontal="center" vertical="center" wrapText="1"/>
    </x:xf>
    <x:xf numFmtId="0" fontId="40" fillId="40" borderId="0" xfId="0" applyNumberFormat="1" applyFont="1" applyFill="1" applyBorder="1" applyAlignment="1">
      <x:alignment vertical="center" wrapText="1"/>
    </x:xf>
    <x:xf numFmtId="0" fontId="25" fillId="41" borderId="0" xfId="0" applyNumberFormat="1" applyFont="1" applyFill="1" applyBorder="1" applyAlignment="1">
      <x:alignment horizontal="center" vertical="center" wrapText="1"/>
    </x:xf>
    <x:xf numFmtId="0" fontId="34" fillId="41" borderId="0" xfId="0" applyNumberFormat="1" applyFont="1" applyFill="1" applyBorder="1" applyAlignment="1">
      <x:alignment vertical="center" wrapText="1"/>
    </x:xf>
    <x:xf numFmtId="0" fontId="40" fillId="41" borderId="0" xfId="0" applyNumberFormat="1" applyFont="1" applyFill="1" applyBorder="1" applyAlignment="1">
      <x:alignment horizontal="center" vertical="center" wrapText="1"/>
    </x:xf>
    <x:xf numFmtId="0" fontId="40" fillId="41" borderId="0" xfId="0" applyNumberFormat="1" applyFont="1" applyFill="1" applyBorder="1" applyAlignment="1">
      <x:alignment vertical="center" wrapText="1"/>
    </x:xf>
    <x:xf numFmtId="0" fontId="13" fillId="42" borderId="0" xfId="0" applyNumberFormat="1" applyFont="1" applyFill="1" applyBorder="1" applyAlignment="1">
      <x:alignment horizontal="center" vertical="center" wrapText="1"/>
    </x:xf>
    <x:xf numFmtId="0" fontId="35" fillId="42" borderId="0" xfId="0" applyNumberFormat="1" applyFont="1" applyFill="1" applyBorder="1" applyAlignment="1">
      <x:alignment vertical="center" wrapText="1"/>
    </x:xf>
    <x:xf numFmtId="0" fontId="40" fillId="42" borderId="0" xfId="0" applyNumberFormat="1" applyFont="1" applyFill="1" applyBorder="1" applyAlignment="1">
      <x:alignment horizontal="center" vertical="center" wrapText="1"/>
    </x:xf>
    <x:xf numFmtId="0" fontId="40" fillId="42" borderId="0" xfId="0" applyNumberFormat="1" applyFont="1" applyFill="1" applyBorder="1" applyAlignment="1">
      <x:alignment vertical="center" wrapText="1"/>
    </x:xf>
    <x:xf numFmtId="0" fontId="28" fillId="43" borderId="0" xfId="0" applyNumberFormat="1" applyFont="1" applyFill="1" applyBorder="1" applyAlignment="1">
      <x:alignment vertical="center" wrapText="1"/>
    </x:xf>
    <x:xf numFmtId="0" fontId="29" fillId="43" borderId="0" xfId="0" applyNumberFormat="1" applyFont="1" applyFill="1" applyBorder="1" applyAlignment="1">
      <x:alignment vertical="center" wrapText="1"/>
    </x:xf>
    <x:xf numFmtId="0" fontId="27" fillId="43" borderId="0" xfId="0" applyNumberFormat="1" applyFont="1" applyFill="1" applyBorder="1" applyAlignment="1">
      <x:alignment vertical="center" wrapText="1"/>
    </x:xf>
    <x:xf numFmtId="0" fontId="41" fillId="43" borderId="0" xfId="0" applyNumberFormat="1" applyFont="1" applyFill="1" applyBorder="1" applyAlignment="1">
      <x:alignment vertical="center" wrapText="1"/>
    </x:xf>
    <x:xf numFmtId="0" fontId="42" fillId="43" borderId="0" xfId="0" applyNumberFormat="1" applyFont="1" applyFill="1" applyBorder="1" applyAlignment="1">
      <x:alignment vertical="center" wrapText="1"/>
    </x:xf>
    <x:xf numFmtId="0" fontId="41" fillId="43" borderId="0" xfId="0" applyNumberFormat="1" applyFont="1" applyFill="1" applyBorder="1" applyAlignment="1">
      <x:alignment horizontal="left" vertical="center" wrapText="1"/>
    </x:xf>
    <x:xf numFmtId="0" fontId="42" fillId="43" borderId="0" xfId="0" applyNumberFormat="1" applyFont="1" applyFill="1" applyBorder="1" applyAlignment="1">
      <x:alignment horizontal="left" vertical="center" wrapText="1"/>
    </x:xf>
    <x:xf numFmtId="0" fontId="26" fillId="43" borderId="0" xfId="0" applyNumberFormat="1" applyFont="1" applyFill="1" applyBorder="1" applyAlignment="1">
      <x:alignment vertical="center" wrapText="1"/>
    </x:xf>
    <x:xf numFmtId="0" fontId="27" fillId="4" borderId="0" xfId="0" applyNumberFormat="1" applyFont="1" applyFill="1" applyBorder="1" applyAlignment="1">
      <x:alignment vertical="center" wrapText="1"/>
    </x:xf>
    <x:xf numFmtId="0" fontId="26" fillId="4" borderId="0" xfId="0" applyNumberFormat="1" applyFont="1" applyFill="1" applyBorder="1" applyAlignment="1">
      <x:alignment vertical="center" wrapText="1"/>
    </x:xf>
    <x:xf numFmtId="0" fontId="28" fillId="44" borderId="0" xfId="0" applyNumberFormat="1" applyFont="1" applyFill="1" applyBorder="1" applyAlignment="1">
      <x:alignment vertical="center" wrapText="1"/>
    </x:xf>
    <x:xf numFmtId="0" fontId="29" fillId="44" borderId="0" xfId="0" applyNumberFormat="1" applyFont="1" applyFill="1" applyBorder="1" applyAlignment="1">
      <x:alignment vertical="center" wrapText="1"/>
    </x:xf>
    <x:xf numFmtId="0" fontId="31" fillId="44" borderId="0" xfId="0" applyNumberFormat="1" applyFont="1" applyFill="1" applyBorder="1" applyAlignment="1">
      <x:alignment vertical="center" wrapText="1"/>
    </x:xf>
    <x:xf numFmtId="0" fontId="41" fillId="44" borderId="0" xfId="0" applyNumberFormat="1" applyFont="1" applyFill="1" applyBorder="1" applyAlignment="1">
      <x:alignment vertical="center" wrapText="1"/>
    </x:xf>
    <x:xf numFmtId="0" fontId="42" fillId="44" borderId="0" xfId="0" applyNumberFormat="1" applyFont="1" applyFill="1" applyBorder="1" applyAlignment="1">
      <x:alignment vertical="center" wrapText="1"/>
    </x:xf>
    <x:xf numFmtId="0" fontId="41" fillId="44" borderId="0" xfId="0" applyNumberFormat="1" applyFont="1" applyFill="1" applyBorder="1" applyAlignment="1">
      <x:alignment horizontal="left" vertical="center" wrapText="1"/>
    </x:xf>
    <x:xf numFmtId="0" fontId="42" fillId="44" borderId="0" xfId="0" applyNumberFormat="1" applyFont="1" applyFill="1" applyBorder="1" applyAlignment="1">
      <x:alignment horizontal="left" vertical="center" wrapText="1"/>
    </x:xf>
    <x:xf numFmtId="0" fontId="31" fillId="4" borderId="0" xfId="0" applyNumberFormat="1" applyFont="1" applyFill="1" applyBorder="1" applyAlignment="1">
      <x:alignment vertical="center" wrapText="1"/>
    </x:xf>
    <x:xf numFmtId="0" fontId="28" fillId="45" borderId="0" xfId="0" applyNumberFormat="1" applyFont="1" applyFill="1" applyBorder="1" applyAlignment="1">
      <x:alignment vertical="center" wrapText="1"/>
    </x:xf>
    <x:xf numFmtId="0" fontId="32" fillId="45" borderId="0" xfId="0" applyNumberFormat="1" applyFont="1" applyFill="1" applyBorder="1" applyAlignment="1">
      <x:alignment vertical="center" wrapText="1"/>
    </x:xf>
    <x:xf numFmtId="0" fontId="41" fillId="45" borderId="0" xfId="0" applyNumberFormat="1" applyFont="1" applyFill="1" applyBorder="1" applyAlignment="1">
      <x:alignment vertical="center" wrapText="1"/>
    </x:xf>
    <x:xf numFmtId="0" fontId="41" fillId="45" borderId="0" xfId="0" applyNumberFormat="1" applyFont="1" applyFill="1" applyBorder="1" applyAlignment="1">
      <x:alignment horizontal="left" vertical="center" wrapText="1"/>
    </x:xf>
    <x:xf numFmtId="0" fontId="32" fillId="4" borderId="0" xfId="0" applyNumberFormat="1" applyFont="1" applyFill="1" applyBorder="1" applyAlignment="1">
      <x:alignment vertical="center" wrapText="1"/>
    </x:xf>
    <x:xf numFmtId="0" fontId="28" fillId="46" borderId="0" xfId="0" applyNumberFormat="1" applyFont="1" applyFill="1" applyBorder="1" applyAlignment="1">
      <x:alignment vertical="center" wrapText="1"/>
    </x:xf>
    <x:xf numFmtId="0" fontId="33" fillId="46" borderId="0" xfId="0" applyNumberFormat="1" applyFont="1" applyFill="1" applyBorder="1" applyAlignment="1">
      <x:alignment vertical="center" wrapText="1"/>
    </x:xf>
    <x:xf numFmtId="0" fontId="41" fillId="46" borderId="0" xfId="0" applyNumberFormat="1" applyFont="1" applyFill="1" applyBorder="1" applyAlignment="1">
      <x:alignment vertical="center" wrapText="1"/>
    </x:xf>
    <x:xf numFmtId="0" fontId="41" fillId="46" borderId="0" xfId="0" applyNumberFormat="1" applyFont="1" applyFill="1" applyBorder="1" applyAlignment="1">
      <x:alignment horizontal="left" vertical="center" wrapText="1"/>
    </x:xf>
    <x:xf numFmtId="0" fontId="33" fillId="4" borderId="0" xfId="0" applyNumberFormat="1" applyFont="1" applyFill="1" applyBorder="1" applyAlignment="1">
      <x:alignment vertical="center" wrapText="1"/>
    </x:xf>
    <x:xf numFmtId="0" fontId="28" fillId="47" borderId="0" xfId="0" applyNumberFormat="1" applyFont="1" applyFill="1" applyBorder="1" applyAlignment="1">
      <x:alignment vertical="center" wrapText="1"/>
    </x:xf>
    <x:xf numFmtId="0" fontId="34" fillId="47" borderId="0" xfId="0" applyNumberFormat="1" applyFont="1" applyFill="1" applyBorder="1" applyAlignment="1">
      <x:alignment vertical="center" wrapText="1"/>
    </x:xf>
    <x:xf numFmtId="0" fontId="41" fillId="47" borderId="0" xfId="0" applyNumberFormat="1" applyFont="1" applyFill="1" applyBorder="1" applyAlignment="1">
      <x:alignment vertical="center" wrapText="1"/>
    </x:xf>
    <x:xf numFmtId="0" fontId="41" fillId="47" borderId="0" xfId="0" applyNumberFormat="1" applyFont="1" applyFill="1" applyBorder="1" applyAlignment="1">
      <x:alignment horizontal="left" vertical="center" wrapText="1"/>
    </x:xf>
    <x:xf numFmtId="0" fontId="34" fillId="4" borderId="0" xfId="0" applyNumberFormat="1" applyFont="1" applyFill="1" applyBorder="1" applyAlignment="1">
      <x:alignment vertical="center" wrapText="1"/>
    </x:xf>
    <x:xf numFmtId="0" fontId="28" fillId="48" borderId="0" xfId="0" applyNumberFormat="1" applyFont="1" applyFill="1" applyBorder="1" applyAlignment="1">
      <x:alignment vertical="center" wrapText="1"/>
    </x:xf>
    <x:xf numFmtId="0" fontId="35" fillId="48" borderId="0" xfId="0" applyNumberFormat="1" applyFont="1" applyFill="1" applyBorder="1" applyAlignment="1">
      <x:alignment vertical="center" wrapText="1"/>
    </x:xf>
    <x:xf numFmtId="0" fontId="41" fillId="48" borderId="0" xfId="0" applyNumberFormat="1" applyFont="1" applyFill="1" applyBorder="1" applyAlignment="1">
      <x:alignment vertical="center" wrapText="1"/>
    </x:xf>
    <x:xf numFmtId="0" fontId="41" fillId="48" borderId="0" xfId="0" applyNumberFormat="1" applyFont="1" applyFill="1" applyBorder="1" applyAlignment="1">
      <x:alignment horizontal="left" vertical="center" wrapText="1"/>
    </x:xf>
    <x:xf numFmtId="0" fontId="35" fillId="4" borderId="0" xfId="0" applyNumberFormat="1" applyFont="1" applyFill="1" applyBorder="1" applyAlignment="1">
      <x:alignment vertical="center" wrapText="1"/>
    </x:xf>
    <x:xf numFmtId="0" fontId="27" fillId="33" borderId="0" xfId="0" applyNumberFormat="1" applyFont="1" applyFill="1" applyBorder="1" applyAlignment="1">
      <x:alignment vertical="center" wrapText="1"/>
    </x:xf>
    <x:xf numFmtId="0" fontId="31" fillId="33" borderId="0" xfId="0" applyNumberFormat="1" applyFont="1" applyFill="1" applyBorder="1" applyAlignment="1">
      <x:alignment vertical="center" wrapText="1"/>
    </x:xf>
    <x:xf numFmtId="0" fontId="32" fillId="33" borderId="0" xfId="0" applyNumberFormat="1" applyFont="1" applyFill="1" applyBorder="1" applyAlignment="1">
      <x:alignment vertical="center" wrapText="1"/>
    </x:xf>
    <x:xf numFmtId="0" fontId="33" fillId="33" borderId="0" xfId="0" applyNumberFormat="1" applyFont="1" applyFill="1" applyBorder="1" applyAlignment="1">
      <x:alignment vertical="center" wrapText="1"/>
    </x:xf>
    <x:xf numFmtId="0" fontId="34" fillId="33" borderId="0" xfId="0" applyNumberFormat="1" applyFont="1" applyFill="1" applyBorder="1" applyAlignment="1">
      <x:alignment vertical="center" wrapText="1"/>
    </x:xf>
    <x:xf numFmtId="0" fontId="35" fillId="33" borderId="0" xfId="0" applyNumberFormat="1" applyFont="1" applyFill="1" applyBorder="1" applyAlignment="1">
      <x:alignment vertical="center" wrapText="1"/>
    </x:xf>
    <x:xf numFmtId="0" fontId="1" fillId="33" borderId="0" xfId="0" applyNumberFormat="1" applyFont="1" applyFill="1" applyBorder="1" applyAlignment="1">
      <x:alignment vertical="center" wrapText="1"/>
    </x:xf>
    <x:xf numFmtId="0" fontId="1" fillId="33" borderId="0" xfId="0" applyNumberFormat="1" applyFont="1" applyFill="1" applyBorder="1" applyAlignment="1">
      <x:alignment horizontal="left" vertical="center" wrapText="1"/>
    </x:xf>
    <x:xf numFmtId="0" fontId="29" fillId="49" borderId="0" xfId="0" applyNumberFormat="1" applyFont="1" applyFill="1" applyBorder="1" applyAlignment="1">
      <x:alignment vertical="center" wrapText="1"/>
    </x:xf>
    <x:xf numFmtId="0" fontId="43" fillId="49" borderId="0" xfId="0" applyNumberFormat="1" applyFont="1" applyFill="1" applyBorder="1" applyAlignment="1">
      <x:alignment vertical="center" wrapText="1"/>
    </x:xf>
    <x:xf numFmtId="0" fontId="43" fillId="49" borderId="0" xfId="0" applyNumberFormat="1" applyFont="1" applyFill="1" applyBorder="1" applyAlignment="1">
      <x:alignment horizontal="center" vertical="center" wrapText="1"/>
    </x:xf>
    <x:xf numFmtId="0" fontId="28" fillId="49" borderId="0" xfId="0" applyNumberFormat="1" applyFont="1" applyFill="1" applyBorder="1" applyAlignment="1">
      <x:alignment vertical="center" wrapText="1"/>
    </x:xf>
    <x:xf numFmtId="200" fontId="28" fillId="4" borderId="0" xfId="0" applyNumberFormat="1" applyFont="1" applyFill="1" applyBorder="1" applyAlignment="1">
      <x:alignment vertical="center" wrapText="1"/>
    </x:xf>
    <x:xf numFmtId="0" fontId="44" fillId="4" borderId="0" xfId="0" applyNumberFormat="1" applyFont="1" applyFill="1" applyBorder="1" applyAlignment="1">
      <x:alignment vertical="center" wrapText="1"/>
    </x:xf>
    <x:xf numFmtId="0" fontId="44" fillId="4" borderId="0" xfId="0" applyNumberFormat="1" applyFont="1" applyFill="1" applyBorder="1" applyAlignment="1">
      <x:alignment horizontal="center" vertical="center" wrapText="1"/>
    </x:xf>
    <x:xf numFmtId="200" fontId="44" fillId="4" borderId="0" xfId="0" applyNumberFormat="1" applyFont="1" applyFill="1" applyBorder="1" applyAlignment="1">
      <x:alignment vertical="center" wrapText="1"/>
    </x:xf>
    <x:xf numFmtId="200" fontId="44" fillId="4" borderId="0" xfId="0" applyNumberFormat="1" applyFont="1" applyFill="1" applyBorder="1" applyAlignment="1">
      <x:alignment horizontal="center" vertical="center" wrapText="1"/>
    </x:xf>
    <x:xf numFmtId="0" fontId="36" fillId="50" borderId="0" xfId="0" applyNumberFormat="1" applyFont="1" applyFill="1" applyBorder="1" applyAlignment="1">
      <x:alignment horizontal="left" vertical="center"/>
    </x:xf>
    <x:xf numFmtId="0" fontId="37" fillId="51" borderId="0" xfId="0" applyNumberFormat="1" applyFont="1" applyFill="1" applyBorder="1" applyAlignment="1">
      <x:alignment horizontal="center" vertical="center" wrapText="1"/>
    </x:xf>
    <x:xf numFmtId="0" fontId="45" fillId="51" borderId="0" xfId="0" applyNumberFormat="1" applyFont="1" applyFill="1" applyBorder="1" applyAlignment="1">
      <x:alignment horizontal="center" vertical="center" wrapText="1"/>
    </x:xf>
    <x:xf numFmtId="0" fontId="37" fillId="52" borderId="0" xfId="0" applyNumberFormat="1" applyFont="1" applyFill="1" applyBorder="1" applyAlignment="1">
      <x:alignment horizontal="center" vertical="center" wrapText="1"/>
    </x:xf>
    <x:xf numFmtId="0" fontId="38" fillId="52" borderId="0" xfId="0" applyNumberFormat="1" applyFont="1" applyFill="1" applyBorder="1" applyAlignment="1">
      <x:alignment horizontal="center" vertical="center" wrapText="1"/>
    </x:xf>
    <x:xf numFmtId="0" fontId="38" fillId="52" borderId="79" xfId="0" applyNumberFormat="1" applyFont="1" applyFill="1" applyBorder="1" applyAlignment="1">
      <x:alignment horizontal="center" vertical="center" wrapText="1"/>
    </x:xf>
    <x:xf numFmtId="0" fontId="38" fillId="53" borderId="23" xfId="0" applyNumberFormat="1" applyFont="1" applyFill="1" applyBorder="1" applyAlignment="1">
      <x:alignment horizontal="center" vertical="center" wrapText="1"/>
    </x:xf>
    <x:xf numFmtId="0" fontId="38" fillId="53" borderId="24" xfId="0" applyNumberFormat="1" applyFont="1" applyFill="1" applyBorder="1" applyAlignment="1">
      <x:alignment horizontal="center" vertical="center" wrapText="1"/>
    </x:xf>
    <x:xf numFmtId="0" fontId="39" fillId="53" borderId="0" xfId="0" applyNumberFormat="1" applyFont="1" applyFill="1" applyBorder="1" applyAlignment="1">
      <x:alignment vertical="center" wrapText="1"/>
    </x:xf>
    <x:xf numFmtId="0" fontId="46" fillId="53" borderId="23" xfId="0" applyNumberFormat="1" applyFont="1" applyFill="1" applyBorder="1" applyAlignment="1">
      <x:alignment horizontal="center" vertical="center" wrapText="1"/>
    </x:xf>
    <x:xf numFmtId="0" fontId="46" fillId="53" borderId="24" xfId="0" applyNumberFormat="1" applyFont="1" applyFill="1" applyBorder="1" applyAlignment="1">
      <x:alignment horizontal="center" vertical="center" wrapText="1"/>
    </x:xf>
    <x:xf numFmtId="0" fontId="47" fillId="53" borderId="0" xfId="0" applyNumberFormat="1" applyFont="1" applyFill="1" applyBorder="1" applyAlignment="1">
      <x:alignment vertical="center" wrapText="1"/>
    </x:xf>
    <x:xf numFmtId="0" fontId="38" fillId="53" borderId="0" xfId="0" applyNumberFormat="1" applyFont="1" applyFill="1" applyBorder="1" applyAlignment="1">
      <x:alignment horizontal="center" vertical="center" wrapText="1"/>
    </x:xf>
    <x:xf numFmtId="0" fontId="46" fillId="53" borderId="0" xfId="0" applyNumberFormat="1" applyFont="1" applyFill="1" applyBorder="1" applyAlignment="1">
      <x:alignment horizontal="center" vertical="center" wrapText="1"/>
    </x:xf>
    <x:xf numFmtId="0" fontId="40" fillId="54" borderId="10" xfId="0" applyNumberFormat="1" applyFont="1" applyFill="1" applyBorder="1" applyAlignment="1">
      <x:alignment horizontal="center" vertical="center" wrapText="1"/>
    </x:xf>
    <x:xf numFmtId="0" fontId="40" fillId="54" borderId="80" xfId="0" applyNumberFormat="1" applyFont="1" applyFill="1" applyBorder="1" applyAlignment="1">
      <x:alignment horizontal="center" vertical="center" wrapText="1"/>
    </x:xf>
    <x:xf numFmtId="0" fontId="40" fillId="54" borderId="0" xfId="0" applyNumberFormat="1" applyFont="1" applyFill="1" applyBorder="1" applyAlignment="1">
      <x:alignment horizontal="center" vertical="center" wrapText="1"/>
    </x:xf>
    <x:xf numFmtId="0" fontId="40" fillId="55" borderId="10" xfId="0" applyNumberFormat="1" applyFont="1" applyFill="1" applyBorder="1" applyAlignment="1">
      <x:alignment horizontal="center" vertical="center" wrapText="1"/>
    </x:xf>
    <x:xf numFmtId="0" fontId="40" fillId="55" borderId="80" xfId="0" applyNumberFormat="1" applyFont="1" applyFill="1" applyBorder="1" applyAlignment="1">
      <x:alignment horizontal="center" vertical="center" wrapText="1"/>
    </x:xf>
    <x:xf numFmtId="0" fontId="40" fillId="55" borderId="0" xfId="0" applyNumberFormat="1" applyFont="1" applyFill="1" applyBorder="1" applyAlignment="1">
      <x:alignment horizontal="center" vertical="center" wrapText="1"/>
    </x:xf>
    <x:xf numFmtId="0" fontId="40" fillId="56" borderId="10" xfId="0" applyNumberFormat="1" applyFont="1" applyFill="1" applyBorder="1" applyAlignment="1">
      <x:alignment horizontal="center" vertical="center" wrapText="1"/>
    </x:xf>
    <x:xf numFmtId="0" fontId="40" fillId="56" borderId="80" xfId="0" applyNumberFormat="1" applyFont="1" applyFill="1" applyBorder="1" applyAlignment="1">
      <x:alignment horizontal="center" vertical="center" wrapText="1"/>
    </x:xf>
    <x:xf numFmtId="0" fontId="40" fillId="56" borderId="0" xfId="0" applyNumberFormat="1" applyFont="1" applyFill="1" applyBorder="1" applyAlignment="1">
      <x:alignment horizontal="center" vertical="center" wrapText="1"/>
    </x:xf>
    <x:xf numFmtId="0" fontId="40" fillId="57" borderId="10" xfId="0" applyNumberFormat="1" applyFont="1" applyFill="1" applyBorder="1" applyAlignment="1">
      <x:alignment horizontal="center" vertical="center" wrapText="1"/>
    </x:xf>
    <x:xf numFmtId="0" fontId="40" fillId="57" borderId="80" xfId="0" applyNumberFormat="1" applyFont="1" applyFill="1" applyBorder="1" applyAlignment="1">
      <x:alignment horizontal="center" vertical="center" wrapText="1"/>
    </x:xf>
    <x:xf numFmtId="0" fontId="40" fillId="57" borderId="0" xfId="0" applyNumberFormat="1" applyFont="1" applyFill="1" applyBorder="1" applyAlignment="1">
      <x:alignment horizontal="center" vertical="center" wrapText="1"/>
    </x:xf>
    <x:xf numFmtId="0" fontId="40" fillId="58" borderId="10" xfId="0" applyNumberFormat="1" applyFont="1" applyFill="1" applyBorder="1" applyAlignment="1">
      <x:alignment horizontal="center" vertical="center" wrapText="1"/>
    </x:xf>
    <x:xf numFmtId="0" fontId="40" fillId="58" borderId="80" xfId="0" applyNumberFormat="1" applyFont="1" applyFill="1" applyBorder="1" applyAlignment="1">
      <x:alignment horizontal="center" vertical="center" wrapText="1"/>
    </x:xf>
    <x:xf numFmtId="0" fontId="40" fillId="58" borderId="0" xfId="0" applyNumberFormat="1" applyFont="1" applyFill="1" applyBorder="1" applyAlignment="1">
      <x:alignment horizontal="center" vertical="center" wrapText="1"/>
    </x:xf>
    <x:xf numFmtId="0" fontId="40" fillId="59" borderId="10" xfId="0" applyNumberFormat="1" applyFont="1" applyFill="1" applyBorder="1" applyAlignment="1">
      <x:alignment horizontal="center" vertical="center" wrapText="1"/>
    </x:xf>
    <x:xf numFmtId="0" fontId="40" fillId="59" borderId="80" xfId="0" applyNumberFormat="1" applyFont="1" applyFill="1" applyBorder="1" applyAlignment="1">
      <x:alignment horizontal="center" vertical="center" wrapText="1"/>
    </x:xf>
    <x:xf numFmtId="0" fontId="40" fillId="59" borderId="0" xfId="0" applyNumberFormat="1" applyFont="1" applyFill="1" applyBorder="1" applyAlignment="1">
      <x:alignment horizontal="center" vertical="center" wrapText="1"/>
    </x:xf>
    <x:xf numFmtId="0" fontId="27" fillId="60" borderId="8" xfId="0" applyNumberFormat="1" applyFont="1" applyFill="1" applyBorder="1" applyAlignment="1">
      <x:alignment vertical="center" wrapText="1"/>
    </x:xf>
    <x:xf numFmtId="0" fontId="48" fillId="60" borderId="8" xfId="0" applyNumberFormat="1" applyFont="1" applyFill="1" applyBorder="1" applyAlignment="1">
      <x:alignment vertical="center" wrapText="1"/>
    </x:xf>
    <x:xf numFmtId="0" fontId="48" fillId="60" borderId="81" xfId="0" applyNumberFormat="1" applyFont="1" applyFill="1" applyBorder="1" applyAlignment="1">
      <x:alignment vertical="center" wrapText="1"/>
    </x:xf>
    <x:xf numFmtId="0" fontId="48" fillId="60" borderId="81" xfId="0" applyNumberFormat="1" applyFont="1" applyFill="1" applyBorder="1" applyAlignment="1">
      <x:alignment horizontal="left" vertical="center" wrapText="1"/>
    </x:xf>
    <x:xf numFmtId="0" fontId="48" fillId="60" borderId="81" xfId="0" applyNumberFormat="1" applyFont="1" applyFill="1" applyBorder="1" applyAlignment="1">
      <x:alignment horizontal="left" vertical="top" wrapText="1"/>
    </x:xf>
    <x:xf numFmtId="0" fontId="27" fillId="60" borderId="0" xfId="0" applyNumberFormat="1" applyFont="1" applyFill="1" applyBorder="1" applyAlignment="1">
      <x:alignment vertical="center" wrapText="1"/>
    </x:xf>
    <x:xf numFmtId="0" fontId="48" fillId="60" borderId="0" xfId="0" applyNumberFormat="1" applyFont="1" applyFill="1" applyBorder="1" applyAlignment="1">
      <x:alignment vertical="center" wrapText="1"/>
    </x:xf>
    <x:xf numFmtId="0" fontId="41" fillId="61" borderId="4" xfId="0" applyNumberFormat="1" applyFont="1" applyFill="1" applyBorder="1" applyAlignment="1">
      <x:alignment horizontal="left" vertical="center" wrapText="1"/>
    </x:xf>
    <x:xf numFmtId="0" fontId="41" fillId="61" borderId="0" xfId="0" applyNumberFormat="1" applyFont="1" applyFill="1" applyBorder="1" applyAlignment="1">
      <x:alignment horizontal="left" vertical="center" wrapText="1"/>
    </x:xf>
    <x:xf numFmtId="0" fontId="42" fillId="60" borderId="23" xfId="0" applyNumberFormat="1" applyFont="1" applyFill="1" applyBorder="1" applyAlignment="1">
      <x:alignment horizontal="left" vertical="center" wrapText="1"/>
    </x:xf>
    <x:xf numFmtId="0" fontId="49" fillId="60" borderId="23" xfId="0" applyNumberFormat="1" applyFont="1" applyFill="1" applyBorder="1" applyAlignment="1">
      <x:alignment horizontal="left" vertical="center" wrapText="1"/>
    </x:xf>
    <x:xf numFmtId="0" fontId="49" fillId="60" borderId="81" xfId="0" applyNumberFormat="1" applyFont="1" applyFill="1" applyBorder="1" applyAlignment="1">
      <x:alignment horizontal="left" vertical="center" wrapText="1"/>
    </x:xf>
    <x:xf numFmtId="0" fontId="49" fillId="60" borderId="81" xfId="0" applyNumberFormat="1" applyFont="1" applyFill="1" applyBorder="1" applyAlignment="1">
      <x:alignment horizontal="left" vertical="top" wrapText="1"/>
    </x:xf>
    <x:xf numFmtId="0" fontId="42" fillId="60" borderId="0" xfId="0" applyNumberFormat="1" applyFont="1" applyFill="1" applyBorder="1" applyAlignment="1">
      <x:alignment horizontal="left" vertical="center" wrapText="1"/>
    </x:xf>
    <x:xf numFmtId="0" fontId="49" fillId="60" borderId="0" xfId="0" applyNumberFormat="1" applyFont="1" applyFill="1" applyBorder="1" applyAlignment="1">
      <x:alignment horizontal="left" vertical="center" wrapText="1"/>
    </x:xf>
    <x:xf numFmtId="0" fontId="41" fillId="61" borderId="23" xfId="0" applyNumberFormat="1" applyFont="1" applyFill="1" applyBorder="1" applyAlignment="1">
      <x:alignment horizontal="left" vertical="center" wrapText="1"/>
    </x:xf>
    <x:xf numFmtId="0" fontId="41" fillId="60" borderId="8" xfId="0" applyNumberFormat="1" applyFont="1" applyFill="1" applyBorder="1" applyAlignment="1">
      <x:alignment horizontal="left" vertical="center" wrapText="1"/>
    </x:xf>
    <x:xf numFmtId="0" fontId="48" fillId="60" borderId="8" xfId="0" applyNumberFormat="1" applyFont="1" applyFill="1" applyBorder="1" applyAlignment="1">
      <x:alignment horizontal="left" vertical="center" wrapText="1"/>
    </x:xf>
    <x:xf numFmtId="0" fontId="41" fillId="60" borderId="0" xfId="0" applyNumberFormat="1" applyFont="1" applyFill="1" applyBorder="1" applyAlignment="1">
      <x:alignment horizontal="left" vertical="center" wrapText="1"/>
    </x:xf>
    <x:xf numFmtId="0" fontId="48" fillId="60" borderId="0" xfId="0" applyNumberFormat="1" applyFont="1" applyFill="1" applyBorder="1" applyAlignment="1">
      <x:alignment horizontal="left" vertical="center" wrapText="1"/>
    </x:xf>
    <x:xf numFmtId="0" fontId="29" fillId="61" borderId="4" xfId="0" applyNumberFormat="1" applyFont="1" applyFill="1" applyBorder="1" applyAlignment="1">
      <x:alignment vertical="center" wrapText="1"/>
    </x:xf>
    <x:xf numFmtId="0" fontId="29" fillId="61" borderId="0" xfId="0" applyNumberFormat="1" applyFont="1" applyFill="1" applyBorder="1" applyAlignment="1">
      <x:alignment vertical="center" wrapText="1"/>
    </x:xf>
    <x:xf numFmtId="0" fontId="41" fillId="60" borderId="23" xfId="0" applyNumberFormat="1" applyFont="1" applyFill="1" applyBorder="1" applyAlignment="1">
      <x:alignment horizontal="left" vertical="center" wrapText="1"/>
    </x:xf>
    <x:xf numFmtId="0" fontId="48" fillId="60" borderId="23" xfId="0" applyNumberFormat="1" applyFont="1" applyFill="1" applyBorder="1" applyAlignment="1">
      <x:alignment horizontal="left" vertical="center" wrapText="1"/>
    </x:xf>
    <x:xf numFmtId="0" fontId="28" fillId="60" borderId="8" xfId="0" applyNumberFormat="1" applyFont="1" applyFill="1" applyBorder="1" applyAlignment="1">
      <x:alignment vertical="center" wrapText="1"/>
    </x:xf>
    <x:xf numFmtId="0" fontId="28" fillId="60" borderId="0" xfId="0" applyNumberFormat="1" applyFont="1" applyFill="1" applyBorder="1" applyAlignment="1">
      <x:alignment vertical="center" wrapText="1"/>
    </x:xf>
    <x:xf numFmtId="0" fontId="42" fillId="61" borderId="4" xfId="0" applyNumberFormat="1" applyFont="1" applyFill="1" applyBorder="1" applyAlignment="1">
      <x:alignment horizontal="left" vertical="center" wrapText="1"/>
    </x:xf>
    <x:xf numFmtId="0" fontId="42" fillId="61" borderId="0" xfId="0" applyNumberFormat="1" applyFont="1" applyFill="1" applyBorder="1" applyAlignment="1">
      <x:alignment horizontal="left" vertical="center" wrapText="1"/>
    </x:xf>
    <x:xf numFmtId="0" fontId="27" fillId="61" borderId="23" xfId="0" applyNumberFormat="1" applyFont="1" applyFill="1" applyBorder="1" applyAlignment="1">
      <x:alignment vertical="center" wrapText="1"/>
    </x:xf>
    <x:xf numFmtId="0" fontId="27" fillId="61" borderId="0" xfId="0" applyNumberFormat="1" applyFont="1" applyFill="1" applyBorder="1" applyAlignment="1">
      <x:alignment vertical="center" wrapText="1"/>
    </x:xf>
    <x:xf numFmtId="0" fontId="27" fillId="62" borderId="9" xfId="0" applyNumberFormat="1" applyFont="1" applyFill="1" applyBorder="1" applyAlignment="1">
      <x:alignment vertical="center" wrapText="1"/>
    </x:xf>
    <x:xf numFmtId="0" fontId="48" fillId="62" borderId="9" xfId="0" applyNumberFormat="1" applyFont="1" applyFill="1" applyBorder="1" applyAlignment="1">
      <x:alignment vertical="center" wrapText="1"/>
    </x:xf>
    <x:xf numFmtId="0" fontId="48" fillId="62" borderId="82" xfId="0" applyNumberFormat="1" applyFont="1" applyFill="1" applyBorder="1" applyAlignment="1">
      <x:alignment vertical="center" wrapText="1"/>
    </x:xf>
    <x:xf numFmtId="0" fontId="48" fillId="62" borderId="82" xfId="0" applyNumberFormat="1" applyFont="1" applyFill="1" applyBorder="1" applyAlignment="1">
      <x:alignment horizontal="left" vertical="center" wrapText="1"/>
    </x:xf>
    <x:xf numFmtId="0" fontId="48" fillId="62" borderId="82" xfId="0" applyNumberFormat="1" applyFont="1" applyFill="1" applyBorder="1" applyAlignment="1">
      <x:alignment horizontal="left" vertical="top" wrapText="1"/>
    </x:xf>
    <x:xf numFmtId="0" fontId="27" fillId="62" borderId="0" xfId="0" applyNumberFormat="1" applyFont="1" applyFill="1" applyBorder="1" applyAlignment="1">
      <x:alignment vertical="center" wrapText="1"/>
    </x:xf>
    <x:xf numFmtId="0" fontId="48" fillId="62" borderId="0" xfId="0" applyNumberFormat="1" applyFont="1" applyFill="1" applyBorder="1" applyAlignment="1">
      <x:alignment vertical="center" wrapText="1"/>
    </x:xf>
    <x:xf numFmtId="0" fontId="41" fillId="61" borderId="5" xfId="0" applyNumberFormat="1" applyFont="1" applyFill="1" applyBorder="1" applyAlignment="1">
      <x:alignment horizontal="left" vertical="center" wrapText="1"/>
    </x:xf>
    <x:xf numFmtId="0" fontId="42" fillId="62" borderId="24" xfId="0" applyNumberFormat="1" applyFont="1" applyFill="1" applyBorder="1" applyAlignment="1">
      <x:alignment horizontal="left" vertical="center" wrapText="1"/>
    </x:xf>
    <x:xf numFmtId="0" fontId="49" fillId="62" borderId="24" xfId="0" applyNumberFormat="1" applyFont="1" applyFill="1" applyBorder="1" applyAlignment="1">
      <x:alignment horizontal="left" vertical="center" wrapText="1"/>
    </x:xf>
    <x:xf numFmtId="0" fontId="49" fillId="62" borderId="82" xfId="0" applyNumberFormat="1" applyFont="1" applyFill="1" applyBorder="1" applyAlignment="1">
      <x:alignment horizontal="left" vertical="center" wrapText="1"/>
    </x:xf>
    <x:xf numFmtId="0" fontId="49" fillId="62" borderId="82" xfId="0" applyNumberFormat="1" applyFont="1" applyFill="1" applyBorder="1" applyAlignment="1">
      <x:alignment horizontal="left" vertical="top" wrapText="1"/>
    </x:xf>
    <x:xf numFmtId="0" fontId="42" fillId="62" borderId="0" xfId="0" applyNumberFormat="1" applyFont="1" applyFill="1" applyBorder="1" applyAlignment="1">
      <x:alignment horizontal="left" vertical="center" wrapText="1"/>
    </x:xf>
    <x:xf numFmtId="0" fontId="49" fillId="62" borderId="0" xfId="0" applyNumberFormat="1" applyFont="1" applyFill="1" applyBorder="1" applyAlignment="1">
      <x:alignment horizontal="left" vertical="center" wrapText="1"/>
    </x:xf>
    <x:xf numFmtId="0" fontId="41" fillId="61" borderId="24" xfId="0" applyNumberFormat="1" applyFont="1" applyFill="1" applyBorder="1" applyAlignment="1">
      <x:alignment horizontal="left" vertical="center" wrapText="1"/>
    </x:xf>
    <x:xf numFmtId="0" fontId="41" fillId="62" borderId="9" xfId="0" applyNumberFormat="1" applyFont="1" applyFill="1" applyBorder="1" applyAlignment="1">
      <x:alignment horizontal="left" vertical="center" wrapText="1"/>
    </x:xf>
    <x:xf numFmtId="0" fontId="48" fillId="62" borderId="9" xfId="0" applyNumberFormat="1" applyFont="1" applyFill="1" applyBorder="1" applyAlignment="1">
      <x:alignment horizontal="left" vertical="center" wrapText="1"/>
    </x:xf>
    <x:xf numFmtId="0" fontId="41" fillId="62" borderId="0" xfId="0" applyNumberFormat="1" applyFont="1" applyFill="1" applyBorder="1" applyAlignment="1">
      <x:alignment horizontal="left" vertical="center" wrapText="1"/>
    </x:xf>
    <x:xf numFmtId="0" fontId="48" fillId="62" borderId="0" xfId="0" applyNumberFormat="1" applyFont="1" applyFill="1" applyBorder="1" applyAlignment="1">
      <x:alignment horizontal="left" vertical="center" wrapText="1"/>
    </x:xf>
    <x:xf numFmtId="0" fontId="29" fillId="61" borderId="5" xfId="0" applyNumberFormat="1" applyFont="1" applyFill="1" applyBorder="1" applyAlignment="1">
      <x:alignment vertical="center" wrapText="1"/>
    </x:xf>
    <x:xf numFmtId="0" fontId="41" fillId="62" borderId="24" xfId="0" applyNumberFormat="1" applyFont="1" applyFill="1" applyBorder="1" applyAlignment="1">
      <x:alignment horizontal="left" vertical="center" wrapText="1"/>
    </x:xf>
    <x:xf numFmtId="0" fontId="48" fillId="62" borderId="24" xfId="0" applyNumberFormat="1" applyFont="1" applyFill="1" applyBorder="1" applyAlignment="1">
      <x:alignment horizontal="left" vertical="center" wrapText="1"/>
    </x:xf>
    <x:xf numFmtId="0" fontId="28" fillId="62" borderId="9" xfId="0" applyNumberFormat="1" applyFont="1" applyFill="1" applyBorder="1" applyAlignment="1">
      <x:alignment vertical="center" wrapText="1"/>
    </x:xf>
    <x:xf numFmtId="0" fontId="28" fillId="62" borderId="0" xfId="0" applyNumberFormat="1" applyFont="1" applyFill="1" applyBorder="1" applyAlignment="1">
      <x:alignment vertical="center" wrapText="1"/>
    </x:xf>
    <x:xf numFmtId="0" fontId="42" fillId="61" borderId="5" xfId="0" applyNumberFormat="1" applyFont="1" applyFill="1" applyBorder="1" applyAlignment="1">
      <x:alignment horizontal="left" vertical="center" wrapText="1"/>
    </x:xf>
    <x:xf numFmtId="0" fontId="27" fillId="61" borderId="24" xfId="0" applyNumberFormat="1" applyFont="1" applyFill="1" applyBorder="1" applyAlignment="1">
      <x:alignment vertical="center" wrapText="1"/>
    </x:xf>
    <x:xf numFmtId="0" fontId="31" fillId="63" borderId="8" xfId="0" applyNumberFormat="1" applyFont="1" applyFill="1" applyBorder="1" applyAlignment="1">
      <x:alignment vertical="center" wrapText="1"/>
    </x:xf>
    <x:xf numFmtId="0" fontId="48" fillId="63" borderId="8" xfId="0" applyNumberFormat="1" applyFont="1" applyFill="1" applyBorder="1" applyAlignment="1">
      <x:alignment vertical="center" wrapText="1"/>
    </x:xf>
    <x:xf numFmtId="0" fontId="48" fillId="63" borderId="83" xfId="0" applyNumberFormat="1" applyFont="1" applyFill="1" applyBorder="1" applyAlignment="1">
      <x:alignment vertical="center" wrapText="1"/>
    </x:xf>
    <x:xf numFmtId="0" fontId="48" fillId="63" borderId="83" xfId="0" applyNumberFormat="1" applyFont="1" applyFill="1" applyBorder="1" applyAlignment="1">
      <x:alignment horizontal="left" vertical="center" wrapText="1"/>
    </x:xf>
    <x:xf numFmtId="0" fontId="48" fillId="63" borderId="83" xfId="0" applyNumberFormat="1" applyFont="1" applyFill="1" applyBorder="1" applyAlignment="1">
      <x:alignment horizontal="left" vertical="top" wrapText="1"/>
    </x:xf>
    <x:xf numFmtId="0" fontId="31" fillId="63" borderId="0" xfId="0" applyNumberFormat="1" applyFont="1" applyFill="1" applyBorder="1" applyAlignment="1">
      <x:alignment vertical="center" wrapText="1"/>
    </x:xf>
    <x:xf numFmtId="0" fontId="48" fillId="63" borderId="0" xfId="0" applyNumberFormat="1" applyFont="1" applyFill="1" applyBorder="1" applyAlignment="1">
      <x:alignment vertical="center" wrapText="1"/>
    </x:xf>
    <x:xf numFmtId="0" fontId="42" fillId="63" borderId="23" xfId="0" applyNumberFormat="1" applyFont="1" applyFill="1" applyBorder="1" applyAlignment="1">
      <x:alignment horizontal="left" vertical="center" wrapText="1"/>
    </x:xf>
    <x:xf numFmtId="0" fontId="49" fillId="63" borderId="23" xfId="0" applyNumberFormat="1" applyFont="1" applyFill="1" applyBorder="1" applyAlignment="1">
      <x:alignment horizontal="left" vertical="center" wrapText="1"/>
    </x:xf>
    <x:xf numFmtId="0" fontId="49" fillId="63" borderId="83" xfId="0" applyNumberFormat="1" applyFont="1" applyFill="1" applyBorder="1" applyAlignment="1">
      <x:alignment horizontal="left" vertical="center" wrapText="1"/>
    </x:xf>
    <x:xf numFmtId="0" fontId="49" fillId="63" borderId="83" xfId="0" applyNumberFormat="1" applyFont="1" applyFill="1" applyBorder="1" applyAlignment="1">
      <x:alignment horizontal="left" vertical="top" wrapText="1"/>
    </x:xf>
    <x:xf numFmtId="0" fontId="42" fillId="63" borderId="0" xfId="0" applyNumberFormat="1" applyFont="1" applyFill="1" applyBorder="1" applyAlignment="1">
      <x:alignment horizontal="left" vertical="center" wrapText="1"/>
    </x:xf>
    <x:xf numFmtId="0" fontId="49" fillId="63" borderId="0" xfId="0" applyNumberFormat="1" applyFont="1" applyFill="1" applyBorder="1" applyAlignment="1">
      <x:alignment horizontal="left" vertical="center" wrapText="1"/>
    </x:xf>
    <x:xf numFmtId="0" fontId="41" fillId="63" borderId="8" xfId="0" applyNumberFormat="1" applyFont="1" applyFill="1" applyBorder="1" applyAlignment="1">
      <x:alignment horizontal="left" vertical="center" wrapText="1"/>
    </x:xf>
    <x:xf numFmtId="0" fontId="48" fillId="63" borderId="8" xfId="0" applyNumberFormat="1" applyFont="1" applyFill="1" applyBorder="1" applyAlignment="1">
      <x:alignment horizontal="left" vertical="center" wrapText="1"/>
    </x:xf>
    <x:xf numFmtId="0" fontId="41" fillId="63" borderId="0" xfId="0" applyNumberFormat="1" applyFont="1" applyFill="1" applyBorder="1" applyAlignment="1">
      <x:alignment horizontal="left" vertical="center" wrapText="1"/>
    </x:xf>
    <x:xf numFmtId="0" fontId="48" fillId="63" borderId="0" xfId="0" applyNumberFormat="1" applyFont="1" applyFill="1" applyBorder="1" applyAlignment="1">
      <x:alignment horizontal="left" vertical="center" wrapText="1"/>
    </x:xf>
    <x:xf numFmtId="0" fontId="28" fillId="61" borderId="4" xfId="0" applyNumberFormat="1" applyFont="1" applyFill="1" applyBorder="1" applyAlignment="1">
      <x:alignment vertical="center" wrapText="1"/>
    </x:xf>
    <x:xf numFmtId="0" fontId="28" fillId="61" borderId="0" xfId="0" applyNumberFormat="1" applyFont="1" applyFill="1" applyBorder="1" applyAlignment="1">
      <x:alignment vertical="center" wrapText="1"/>
    </x:xf>
    <x:xf numFmtId="0" fontId="41" fillId="63" borderId="23" xfId="0" applyNumberFormat="1" applyFont="1" applyFill="1" applyBorder="1" applyAlignment="1">
      <x:alignment horizontal="left" vertical="center" wrapText="1"/>
    </x:xf>
    <x:xf numFmtId="0" fontId="48" fillId="63" borderId="23" xfId="0" applyNumberFormat="1" applyFont="1" applyFill="1" applyBorder="1" applyAlignment="1">
      <x:alignment horizontal="left" vertical="center" wrapText="1"/>
    </x:xf>
    <x:xf numFmtId="0" fontId="28" fillId="63" borderId="8" xfId="0" applyNumberFormat="1" applyFont="1" applyFill="1" applyBorder="1" applyAlignment="1">
      <x:alignment vertical="center" wrapText="1"/>
    </x:xf>
    <x:xf numFmtId="0" fontId="28" fillId="63" borderId="0" xfId="0" applyNumberFormat="1" applyFont="1" applyFill="1" applyBorder="1" applyAlignment="1">
      <x:alignment vertical="center" wrapText="1"/>
    </x:xf>
    <x:xf numFmtId="0" fontId="31" fillId="61" borderId="4" xfId="0" applyNumberFormat="1" applyFont="1" applyFill="1" applyBorder="1" applyAlignment="1">
      <x:alignment vertical="center" wrapText="1"/>
    </x:xf>
    <x:xf numFmtId="0" fontId="31" fillId="61" borderId="0" xfId="0" applyNumberFormat="1" applyFont="1" applyFill="1" applyBorder="1" applyAlignment="1">
      <x:alignment vertical="center" wrapText="1"/>
    </x:xf>
    <x:xf numFmtId="0" fontId="31" fillId="64" borderId="9" xfId="0" applyNumberFormat="1" applyFont="1" applyFill="1" applyBorder="1" applyAlignment="1">
      <x:alignment vertical="center" wrapText="1"/>
    </x:xf>
    <x:xf numFmtId="0" fontId="48" fillId="64" borderId="9" xfId="0" applyNumberFormat="1" applyFont="1" applyFill="1" applyBorder="1" applyAlignment="1">
      <x:alignment vertical="center" wrapText="1"/>
    </x:xf>
    <x:xf numFmtId="0" fontId="48" fillId="64" borderId="84" xfId="0" applyNumberFormat="1" applyFont="1" applyFill="1" applyBorder="1" applyAlignment="1">
      <x:alignment vertical="center" wrapText="1"/>
    </x:xf>
    <x:xf numFmtId="0" fontId="48" fillId="64" borderId="84" xfId="0" applyNumberFormat="1" applyFont="1" applyFill="1" applyBorder="1" applyAlignment="1">
      <x:alignment horizontal="left" vertical="center" wrapText="1"/>
    </x:xf>
    <x:xf numFmtId="0" fontId="48" fillId="64" borderId="84" xfId="0" applyNumberFormat="1" applyFont="1" applyFill="1" applyBorder="1" applyAlignment="1">
      <x:alignment horizontal="left" vertical="top" wrapText="1"/>
    </x:xf>
    <x:xf numFmtId="0" fontId="31" fillId="64" borderId="0" xfId="0" applyNumberFormat="1" applyFont="1" applyFill="1" applyBorder="1" applyAlignment="1">
      <x:alignment vertical="center" wrapText="1"/>
    </x:xf>
    <x:xf numFmtId="0" fontId="48" fillId="64" borderId="0" xfId="0" applyNumberFormat="1" applyFont="1" applyFill="1" applyBorder="1" applyAlignment="1">
      <x:alignment vertical="center" wrapText="1"/>
    </x:xf>
    <x:xf numFmtId="0" fontId="42" fillId="64" borderId="24" xfId="0" applyNumberFormat="1" applyFont="1" applyFill="1" applyBorder="1" applyAlignment="1">
      <x:alignment horizontal="left" vertical="center" wrapText="1"/>
    </x:xf>
    <x:xf numFmtId="0" fontId="49" fillId="64" borderId="24" xfId="0" applyNumberFormat="1" applyFont="1" applyFill="1" applyBorder="1" applyAlignment="1">
      <x:alignment horizontal="left" vertical="center" wrapText="1"/>
    </x:xf>
    <x:xf numFmtId="0" fontId="49" fillId="64" borderId="84" xfId="0" applyNumberFormat="1" applyFont="1" applyFill="1" applyBorder="1" applyAlignment="1">
      <x:alignment horizontal="left" vertical="center" wrapText="1"/>
    </x:xf>
    <x:xf numFmtId="0" fontId="49" fillId="64" borderId="84" xfId="0" applyNumberFormat="1" applyFont="1" applyFill="1" applyBorder="1" applyAlignment="1">
      <x:alignment horizontal="left" vertical="top" wrapText="1"/>
    </x:xf>
    <x:xf numFmtId="0" fontId="42" fillId="64" borderId="0" xfId="0" applyNumberFormat="1" applyFont="1" applyFill="1" applyBorder="1" applyAlignment="1">
      <x:alignment horizontal="left" vertical="center" wrapText="1"/>
    </x:xf>
    <x:xf numFmtId="0" fontId="49" fillId="64" borderId="0" xfId="0" applyNumberFormat="1" applyFont="1" applyFill="1" applyBorder="1" applyAlignment="1">
      <x:alignment horizontal="left" vertical="center" wrapText="1"/>
    </x:xf>
    <x:xf numFmtId="0" fontId="41" fillId="64" borderId="9" xfId="0" applyNumberFormat="1" applyFont="1" applyFill="1" applyBorder="1" applyAlignment="1">
      <x:alignment horizontal="left" vertical="center" wrapText="1"/>
    </x:xf>
    <x:xf numFmtId="0" fontId="48" fillId="64" borderId="9" xfId="0" applyNumberFormat="1" applyFont="1" applyFill="1" applyBorder="1" applyAlignment="1">
      <x:alignment horizontal="left" vertical="center" wrapText="1"/>
    </x:xf>
    <x:xf numFmtId="0" fontId="41" fillId="64" borderId="0" xfId="0" applyNumberFormat="1" applyFont="1" applyFill="1" applyBorder="1" applyAlignment="1">
      <x:alignment horizontal="left" vertical="center" wrapText="1"/>
    </x:xf>
    <x:xf numFmtId="0" fontId="48" fillId="64" borderId="0" xfId="0" applyNumberFormat="1" applyFont="1" applyFill="1" applyBorder="1" applyAlignment="1">
      <x:alignment horizontal="left" vertical="center" wrapText="1"/>
    </x:xf>
    <x:xf numFmtId="0" fontId="28" fillId="61" borderId="5" xfId="0" applyNumberFormat="1" applyFont="1" applyFill="1" applyBorder="1" applyAlignment="1">
      <x:alignment vertical="center" wrapText="1"/>
    </x:xf>
    <x:xf numFmtId="0" fontId="41" fillId="64" borderId="24" xfId="0" applyNumberFormat="1" applyFont="1" applyFill="1" applyBorder="1" applyAlignment="1">
      <x:alignment horizontal="left" vertical="center" wrapText="1"/>
    </x:xf>
    <x:xf numFmtId="0" fontId="48" fillId="64" borderId="24" xfId="0" applyNumberFormat="1" applyFont="1" applyFill="1" applyBorder="1" applyAlignment="1">
      <x:alignment horizontal="left" vertical="center" wrapText="1"/>
    </x:xf>
    <x:xf numFmtId="0" fontId="28" fillId="64" borderId="9" xfId="0" applyNumberFormat="1" applyFont="1" applyFill="1" applyBorder="1" applyAlignment="1">
      <x:alignment vertical="center" wrapText="1"/>
    </x:xf>
    <x:xf numFmtId="0" fontId="28" fillId="64" borderId="0" xfId="0" applyNumberFormat="1" applyFont="1" applyFill="1" applyBorder="1" applyAlignment="1">
      <x:alignment vertical="center" wrapText="1"/>
    </x:xf>
    <x:xf numFmtId="0" fontId="31" fillId="61" borderId="5" xfId="0" applyNumberFormat="1" applyFont="1" applyFill="1" applyBorder="1" applyAlignment="1">
      <x:alignment vertical="center" wrapText="1"/>
    </x:xf>
    <x:xf numFmtId="0" fontId="32" fillId="65" borderId="8" xfId="0" applyNumberFormat="1" applyFont="1" applyFill="1" applyBorder="1" applyAlignment="1">
      <x:alignment vertical="center" wrapText="1"/>
    </x:xf>
    <x:xf numFmtId="0" fontId="48" fillId="65" borderId="8" xfId="0" applyNumberFormat="1" applyFont="1" applyFill="1" applyBorder="1" applyAlignment="1">
      <x:alignment vertical="center" wrapText="1"/>
    </x:xf>
    <x:xf numFmtId="0" fontId="48" fillId="65" borderId="85" xfId="0" applyNumberFormat="1" applyFont="1" applyFill="1" applyBorder="1" applyAlignment="1">
      <x:alignment vertical="center" wrapText="1"/>
    </x:xf>
    <x:xf numFmtId="0" fontId="48" fillId="65" borderId="85" xfId="0" applyNumberFormat="1" applyFont="1" applyFill="1" applyBorder="1" applyAlignment="1">
      <x:alignment horizontal="left" vertical="center" wrapText="1"/>
    </x:xf>
    <x:xf numFmtId="0" fontId="48" fillId="65" borderId="85" xfId="0" applyNumberFormat="1" applyFont="1" applyFill="1" applyBorder="1" applyAlignment="1">
      <x:alignment horizontal="left" vertical="top" wrapText="1"/>
    </x:xf>
    <x:xf numFmtId="0" fontId="32" fillId="65" borderId="0" xfId="0" applyNumberFormat="1" applyFont="1" applyFill="1" applyBorder="1" applyAlignment="1">
      <x:alignment vertical="center" wrapText="1"/>
    </x:xf>
    <x:xf numFmtId="0" fontId="48" fillId="65" borderId="0" xfId="0" applyNumberFormat="1" applyFont="1" applyFill="1" applyBorder="1" applyAlignment="1">
      <x:alignment vertical="center" wrapText="1"/>
    </x:xf>
    <x:xf numFmtId="0" fontId="41" fillId="65" borderId="8" xfId="0" applyNumberFormat="1" applyFont="1" applyFill="1" applyBorder="1" applyAlignment="1">
      <x:alignment horizontal="left" vertical="center" wrapText="1"/>
    </x:xf>
    <x:xf numFmtId="0" fontId="48" fillId="65" borderId="8" xfId="0" applyNumberFormat="1" applyFont="1" applyFill="1" applyBorder="1" applyAlignment="1">
      <x:alignment horizontal="left" vertical="center" wrapText="1"/>
    </x:xf>
    <x:xf numFmtId="0" fontId="41" fillId="65" borderId="0" xfId="0" applyNumberFormat="1" applyFont="1" applyFill="1" applyBorder="1" applyAlignment="1">
      <x:alignment horizontal="left" vertical="center" wrapText="1"/>
    </x:xf>
    <x:xf numFmtId="0" fontId="48" fillId="65" borderId="0" xfId="0" applyNumberFormat="1" applyFont="1" applyFill="1" applyBorder="1" applyAlignment="1">
      <x:alignment horizontal="left" vertical="center" wrapText="1"/>
    </x:xf>
    <x:xf numFmtId="0" fontId="41" fillId="65" borderId="23" xfId="0" applyNumberFormat="1" applyFont="1" applyFill="1" applyBorder="1" applyAlignment="1">
      <x:alignment horizontal="left" vertical="center" wrapText="1"/>
    </x:xf>
    <x:xf numFmtId="0" fontId="48" fillId="65" borderId="23" xfId="0" applyNumberFormat="1" applyFont="1" applyFill="1" applyBorder="1" applyAlignment="1">
      <x:alignment horizontal="left" vertical="center" wrapText="1"/>
    </x:xf>
    <x:xf numFmtId="0" fontId="28" fillId="65" borderId="8" xfId="0" applyNumberFormat="1" applyFont="1" applyFill="1" applyBorder="1" applyAlignment="1">
      <x:alignment vertical="center" wrapText="1"/>
    </x:xf>
    <x:xf numFmtId="0" fontId="28" fillId="65" borderId="0" xfId="0" applyNumberFormat="1" applyFont="1" applyFill="1" applyBorder="1" applyAlignment="1">
      <x:alignment vertical="center" wrapText="1"/>
    </x:xf>
    <x:xf numFmtId="0" fontId="32" fillId="61" borderId="4" xfId="0" applyNumberFormat="1" applyFont="1" applyFill="1" applyBorder="1" applyAlignment="1">
      <x:alignment vertical="center" wrapText="1"/>
    </x:xf>
    <x:xf numFmtId="0" fontId="32" fillId="61" borderId="0" xfId="0" applyNumberFormat="1" applyFont="1" applyFill="1" applyBorder="1" applyAlignment="1">
      <x:alignment vertical="center" wrapText="1"/>
    </x:xf>
    <x:xf numFmtId="0" fontId="32" fillId="66" borderId="9" xfId="0" applyNumberFormat="1" applyFont="1" applyFill="1" applyBorder="1" applyAlignment="1">
      <x:alignment vertical="center" wrapText="1"/>
    </x:xf>
    <x:xf numFmtId="0" fontId="48" fillId="66" borderId="9" xfId="0" applyNumberFormat="1" applyFont="1" applyFill="1" applyBorder="1" applyAlignment="1">
      <x:alignment vertical="center" wrapText="1"/>
    </x:xf>
    <x:xf numFmtId="0" fontId="48" fillId="66" borderId="86" xfId="0" applyNumberFormat="1" applyFont="1" applyFill="1" applyBorder="1" applyAlignment="1">
      <x:alignment vertical="center" wrapText="1"/>
    </x:xf>
    <x:xf numFmtId="0" fontId="48" fillId="66" borderId="86" xfId="0" applyNumberFormat="1" applyFont="1" applyFill="1" applyBorder="1" applyAlignment="1">
      <x:alignment horizontal="left" vertical="center" wrapText="1"/>
    </x:xf>
    <x:xf numFmtId="0" fontId="48" fillId="66" borderId="86" xfId="0" applyNumberFormat="1" applyFont="1" applyFill="1" applyBorder="1" applyAlignment="1">
      <x:alignment horizontal="left" vertical="top" wrapText="1"/>
    </x:xf>
    <x:xf numFmtId="0" fontId="32" fillId="66" borderId="0" xfId="0" applyNumberFormat="1" applyFont="1" applyFill="1" applyBorder="1" applyAlignment="1">
      <x:alignment vertical="center" wrapText="1"/>
    </x:xf>
    <x:xf numFmtId="0" fontId="48" fillId="66" borderId="0" xfId="0" applyNumberFormat="1" applyFont="1" applyFill="1" applyBorder="1" applyAlignment="1">
      <x:alignment vertical="center" wrapText="1"/>
    </x:xf>
    <x:xf numFmtId="0" fontId="41" fillId="66" borderId="9" xfId="0" applyNumberFormat="1" applyFont="1" applyFill="1" applyBorder="1" applyAlignment="1">
      <x:alignment horizontal="left" vertical="center" wrapText="1"/>
    </x:xf>
    <x:xf numFmtId="0" fontId="48" fillId="66" borderId="9" xfId="0" applyNumberFormat="1" applyFont="1" applyFill="1" applyBorder="1" applyAlignment="1">
      <x:alignment horizontal="left" vertical="center" wrapText="1"/>
    </x:xf>
    <x:xf numFmtId="0" fontId="41" fillId="66" borderId="0" xfId="0" applyNumberFormat="1" applyFont="1" applyFill="1" applyBorder="1" applyAlignment="1">
      <x:alignment horizontal="left" vertical="center" wrapText="1"/>
    </x:xf>
    <x:xf numFmtId="0" fontId="48" fillId="66" borderId="0" xfId="0" applyNumberFormat="1" applyFont="1" applyFill="1" applyBorder="1" applyAlignment="1">
      <x:alignment horizontal="left" vertical="center" wrapText="1"/>
    </x:xf>
    <x:xf numFmtId="0" fontId="41" fillId="66" borderId="24" xfId="0" applyNumberFormat="1" applyFont="1" applyFill="1" applyBorder="1" applyAlignment="1">
      <x:alignment horizontal="left" vertical="center" wrapText="1"/>
    </x:xf>
    <x:xf numFmtId="0" fontId="48" fillId="66" borderId="24" xfId="0" applyNumberFormat="1" applyFont="1" applyFill="1" applyBorder="1" applyAlignment="1">
      <x:alignment horizontal="left" vertical="center" wrapText="1"/>
    </x:xf>
    <x:xf numFmtId="0" fontId="28" fillId="66" borderId="9" xfId="0" applyNumberFormat="1" applyFont="1" applyFill="1" applyBorder="1" applyAlignment="1">
      <x:alignment vertical="center" wrapText="1"/>
    </x:xf>
    <x:xf numFmtId="0" fontId="28" fillId="66" borderId="0" xfId="0" applyNumberFormat="1" applyFont="1" applyFill="1" applyBorder="1" applyAlignment="1">
      <x:alignment vertical="center" wrapText="1"/>
    </x:xf>
    <x:xf numFmtId="0" fontId="32" fillId="61" borderId="5" xfId="0" applyNumberFormat="1" applyFont="1" applyFill="1" applyBorder="1" applyAlignment="1">
      <x:alignment vertical="center" wrapText="1"/>
    </x:xf>
    <x:xf numFmtId="0" fontId="42" fillId="67" borderId="4" xfId="0" applyNumberFormat="1" applyFont="1" applyFill="1" applyBorder="1" applyAlignment="1">
      <x:alignment horizontal="left" vertical="center" wrapText="1"/>
    </x:xf>
    <x:xf numFmtId="0" fontId="50" fillId="67" borderId="4" xfId="0" applyNumberFormat="1" applyFont="1" applyFill="1" applyBorder="1" applyAlignment="1">
      <x:alignment horizontal="left" vertical="center" wrapText="1"/>
    </x:xf>
    <x:xf numFmtId="0" fontId="50" fillId="67" borderId="4" xfId="0" applyNumberFormat="1" applyFont="1" applyFill="1" applyBorder="1" applyAlignment="1">
      <x:alignment horizontal="center" vertical="center" wrapText="1"/>
    </x:xf>
    <x:xf numFmtId="0" fontId="42" fillId="67" borderId="0" xfId="0" applyNumberFormat="1" applyFont="1" applyFill="1" applyBorder="1" applyAlignment="1">
      <x:alignment horizontal="left" vertical="center" wrapText="1"/>
    </x:xf>
    <x:xf numFmtId="0" fontId="50" fillId="67" borderId="0" xfId="0" applyNumberFormat="1" applyFont="1" applyFill="1" applyBorder="1" applyAlignment="1">
      <x:alignment horizontal="left" vertical="center" wrapText="1"/>
    </x:xf>
    <x:xf numFmtId="0" fontId="50" fillId="67" borderId="0" xfId="0" applyNumberFormat="1" applyFont="1" applyFill="1" applyBorder="1" applyAlignment="1">
      <x:alignment horizontal="center" vertical="center" wrapText="1"/>
    </x:xf>
    <x:xf numFmtId="0" fontId="42" fillId="67" borderId="5" xfId="0" applyNumberFormat="1" applyFont="1" applyFill="1" applyBorder="1" applyAlignment="1">
      <x:alignment horizontal="left" vertical="center" wrapText="1"/>
    </x:xf>
    <x:xf numFmtId="0" fontId="50" fillId="67" borderId="5" xfId="0" applyNumberFormat="1" applyFont="1" applyFill="1" applyBorder="1" applyAlignment="1">
      <x:alignment horizontal="left" vertical="center" wrapText="1"/>
    </x:xf>
    <x:xf numFmtId="0" fontId="50" fillId="67" borderId="5" xfId="0" applyNumberFormat="1" applyFont="1" applyFill="1" applyBorder="1" applyAlignment="1">
      <x:alignment horizontal="center" vertical="center" wrapText="1"/>
    </x:xf>
    <x:xf numFmtId="0" fontId="41" fillId="67" borderId="4" xfId="0" applyNumberFormat="1" applyFont="1" applyFill="1" applyBorder="1" applyAlignment="1">
      <x:alignment horizontal="left" vertical="center" wrapText="1"/>
    </x:xf>
    <x:xf numFmtId="0" fontId="51" fillId="67" borderId="4" xfId="0" applyNumberFormat="1" applyFont="1" applyFill="1" applyBorder="1" applyAlignment="1">
      <x:alignment horizontal="left" vertical="center" wrapText="1"/>
    </x:xf>
    <x:xf numFmtId="0" fontId="51" fillId="67" borderId="4" xfId="0" applyNumberFormat="1" applyFont="1" applyFill="1" applyBorder="1" applyAlignment="1">
      <x:alignment horizontal="center" vertical="center" wrapText="1"/>
    </x:xf>
    <x:xf numFmtId="0" fontId="41" fillId="67" borderId="0" xfId="0" applyNumberFormat="1" applyFont="1" applyFill="1" applyBorder="1" applyAlignment="1">
      <x:alignment horizontal="left" vertical="center" wrapText="1"/>
    </x:xf>
    <x:xf numFmtId="0" fontId="51" fillId="67" borderId="0" xfId="0" applyNumberFormat="1" applyFont="1" applyFill="1" applyBorder="1" applyAlignment="1">
      <x:alignment horizontal="left" vertical="center" wrapText="1"/>
    </x:xf>
    <x:xf numFmtId="0" fontId="51" fillId="67" borderId="0" xfId="0" applyNumberFormat="1" applyFont="1" applyFill="1" applyBorder="1" applyAlignment="1">
      <x:alignment horizontal="center" vertical="center" wrapText="1"/>
    </x:xf>
    <x:xf numFmtId="0" fontId="41" fillId="67" borderId="5" xfId="0" applyNumberFormat="1" applyFont="1" applyFill="1" applyBorder="1" applyAlignment="1">
      <x:alignment horizontal="left" vertical="center" wrapText="1"/>
    </x:xf>
    <x:xf numFmtId="0" fontId="51" fillId="67" borderId="5" xfId="0" applyNumberFormat="1" applyFont="1" applyFill="1" applyBorder="1" applyAlignment="1">
      <x:alignment horizontal="left" vertical="center" wrapText="1"/>
    </x:xf>
    <x:xf numFmtId="0" fontId="51" fillId="67" borderId="5" xfId="0" applyNumberFormat="1" applyFont="1" applyFill="1" applyBorder="1" applyAlignment="1">
      <x:alignment horizontal="center" vertical="center" wrapText="1"/>
    </x:xf>
    <x:xf numFmtId="0" fontId="26" fillId="50" borderId="23" xfId="0" applyNumberFormat="1" applyFont="1" applyFill="1" applyBorder="1" applyAlignment="1">
      <x:alignment vertical="center" wrapText="1"/>
    </x:xf>
    <x:xf numFmtId="0" fontId="26" fillId="50" borderId="24" xfId="0" applyNumberFormat="1" applyFont="1" applyFill="1" applyBorder="1" applyAlignment="1">
      <x:alignment vertical="center" wrapText="1"/>
    </x:xf>
    <x:xf numFmtId="0" fontId="31" fillId="50" borderId="8" xfId="0" applyNumberFormat="1" applyFont="1" applyFill="1" applyBorder="1" applyAlignment="1">
      <x:alignment vertical="center" wrapText="1"/>
    </x:xf>
    <x:xf numFmtId="0" fontId="31" fillId="50" borderId="9" xfId="0" applyNumberFormat="1" applyFont="1" applyFill="1" applyBorder="1" applyAlignment="1">
      <x:alignment vertical="center" wrapText="1"/>
    </x:xf>
    <x:xf numFmtId="0" fontId="32" fillId="50" borderId="8" xfId="0" applyNumberFormat="1" applyFont="1" applyFill="1" applyBorder="1" applyAlignment="1">
      <x:alignment vertical="center" wrapText="1"/>
    </x:xf>
    <x:xf numFmtId="0" fontId="32" fillId="50" borderId="9" xfId="0" applyNumberFormat="1" applyFont="1" applyFill="1" applyBorder="1" applyAlignment="1">
      <x:alignment vertical="center" wrapText="1"/>
    </x:xf>
    <x:xf numFmtId="0" fontId="1" fillId="50" borderId="23" xfId="0" applyNumberFormat="1" applyFont="1" applyFill="1" applyBorder="1" applyAlignment="1">
      <x:alignment vertical="center" wrapText="1"/>
    </x:xf>
    <x:xf numFmtId="0" fontId="1" fillId="50" borderId="24" xfId="0" applyNumberFormat="1" applyFont="1" applyFill="1" applyBorder="1" applyAlignment="1">
      <x:alignment vertical="center" wrapText="1"/>
    </x:xf>
    <x:xf numFmtId="0" fontId="1" fillId="50" borderId="8" xfId="0" applyNumberFormat="1" applyFont="1" applyFill="1" applyBorder="1" applyAlignment="1">
      <x:alignment vertical="center" wrapText="1"/>
    </x:xf>
    <x:xf numFmtId="0" fontId="1" fillId="50" borderId="9" xfId="0" applyNumberFormat="1" applyFont="1" applyFill="1" applyBorder="1" applyAlignment="1">
      <x:alignment vertical="center" wrapText="1"/>
    </x:xf>
    <x:xf numFmtId="0" fontId="1" fillId="50" borderId="23" xfId="0" applyNumberFormat="1" applyFont="1" applyFill="1" applyBorder="1" applyAlignment="1">
      <x:alignment horizontal="left" vertical="center" wrapText="1"/>
    </x:xf>
    <x:xf numFmtId="0" fontId="1" fillId="50" borderId="24" xfId="0" applyNumberFormat="1" applyFont="1" applyFill="1" applyBorder="1" applyAlignment="1">
      <x:alignment horizontal="left" vertical="center" wrapText="1"/>
    </x:xf>
    <x:xf numFmtId="0" fontId="1" fillId="50" borderId="8" xfId="0" applyNumberFormat="1" applyFont="1" applyFill="1" applyBorder="1" applyAlignment="1">
      <x:alignment horizontal="left" vertical="center" wrapText="1"/>
    </x:xf>
    <x:xf numFmtId="0" fontId="1" fillId="50" borderId="9" xfId="0" applyNumberFormat="1" applyFont="1" applyFill="1" applyBorder="1" applyAlignment="1">
      <x:alignment horizontal="left" vertical="center" wrapText="1"/>
    </x:xf>
    <x:xf numFmtId="0" fontId="26" fillId="50" borderId="0" xfId="0" applyNumberFormat="1" applyFont="1" applyFill="1" applyBorder="1" applyAlignment="1">
      <x:alignment vertical="center" wrapText="1"/>
    </x:xf>
    <x:xf numFmtId="0" fontId="31" fillId="50" borderId="0" xfId="0" applyNumberFormat="1" applyFont="1" applyFill="1" applyBorder="1" applyAlignment="1">
      <x:alignment vertical="center" wrapText="1"/>
    </x:xf>
    <x:xf numFmtId="0" fontId="32" fillId="50" borderId="0" xfId="0" applyNumberFormat="1" applyFont="1" applyFill="1" applyBorder="1" applyAlignment="1">
      <x:alignment vertical="center" wrapText="1"/>
    </x:xf>
    <x:xf numFmtId="0" fontId="1" fillId="50" borderId="0" xfId="0" applyNumberFormat="1" applyFont="1" applyFill="1" applyBorder="1" applyAlignment="1">
      <x:alignment vertical="center" wrapText="1"/>
    </x:xf>
    <x:xf numFmtId="0" fontId="1" fillId="50" borderId="0" xfId="0" applyNumberFormat="1" applyFont="1" applyFill="1" applyBorder="1" applyAlignment="1">
      <x:alignment horizontal="left" vertical="center" wrapText="1"/>
    </x:xf>
    <x:xf numFmtId="0" fontId="41" fillId="68" borderId="23" xfId="0" applyNumberFormat="1" applyFont="1" applyFill="1" applyBorder="1" applyAlignment="1">
      <x:alignment horizontal="left" vertical="center" wrapText="1"/>
    </x:xf>
    <x:xf numFmtId="0" fontId="43" fillId="68" borderId="23" xfId="0" applyNumberFormat="1" applyFont="1" applyFill="1" applyBorder="1" applyAlignment="1">
      <x:alignment horizontal="left" vertical="center" wrapText="1"/>
    </x:xf>
    <x:xf numFmtId="0" fontId="43" fillId="68" borderId="23" xfId="0" applyNumberFormat="1" applyFont="1" applyFill="1" applyBorder="1" applyAlignment="1">
      <x:alignment horizontal="center" vertical="center" wrapText="1"/>
    </x:xf>
    <x:xf numFmtId="0" fontId="41" fillId="68" borderId="0" xfId="0" applyNumberFormat="1" applyFont="1" applyFill="1" applyBorder="1" applyAlignment="1">
      <x:alignment horizontal="left" vertical="center" wrapText="1"/>
    </x:xf>
    <x:xf numFmtId="0" fontId="43" fillId="68" borderId="0" xfId="0" applyNumberFormat="1" applyFont="1" applyFill="1" applyBorder="1" applyAlignment="1">
      <x:alignment horizontal="left" vertical="center" wrapText="1"/>
    </x:xf>
    <x:xf numFmtId="0" fontId="43" fillId="68" borderId="0" xfId="0" applyNumberFormat="1" applyFont="1" applyFill="1" applyBorder="1" applyAlignment="1">
      <x:alignment horizontal="center" vertical="center" wrapText="1"/>
    </x:xf>
    <x:xf numFmtId="0" fontId="41" fillId="68" borderId="24" xfId="0" applyNumberFormat="1" applyFont="1" applyFill="1" applyBorder="1" applyAlignment="1">
      <x:alignment horizontal="left" vertical="center" wrapText="1"/>
    </x:xf>
    <x:xf numFmtId="0" fontId="43" fillId="68" borderId="24" xfId="0" applyNumberFormat="1" applyFont="1" applyFill="1" applyBorder="1" applyAlignment="1">
      <x:alignment horizontal="left" vertical="center" wrapText="1"/>
    </x:xf>
    <x:xf numFmtId="0" fontId="43" fillId="68" borderId="24" xfId="0" applyNumberFormat="1" applyFont="1" applyFill="1" applyBorder="1" applyAlignment="1">
      <x:alignment horizontal="center" vertical="center" wrapText="1"/>
    </x:xf>
    <x:xf numFmtId="0" fontId="41" fillId="68" borderId="4" xfId="0" applyNumberFormat="1" applyFont="1" applyFill="1" applyBorder="1" applyAlignment="1">
      <x:alignment horizontal="left" vertical="center" wrapText="1"/>
    </x:xf>
    <x:xf numFmtId="0" fontId="43" fillId="68" borderId="4" xfId="0" applyNumberFormat="1" applyFont="1" applyFill="1" applyBorder="1" applyAlignment="1">
      <x:alignment horizontal="left" vertical="center" wrapText="1"/>
    </x:xf>
    <x:xf numFmtId="0" fontId="43" fillId="68" borderId="4" xfId="0" applyNumberFormat="1" applyFont="1" applyFill="1" applyBorder="1" applyAlignment="1">
      <x:alignment horizontal="center" vertical="center" wrapText="1"/>
    </x:xf>
    <x:xf numFmtId="0" fontId="41" fillId="68" borderId="5" xfId="0" applyNumberFormat="1" applyFont="1" applyFill="1" applyBorder="1" applyAlignment="1">
      <x:alignment horizontal="left" vertical="center" wrapText="1"/>
    </x:xf>
    <x:xf numFmtId="0" fontId="43" fillId="68" borderId="5" xfId="0" applyNumberFormat="1" applyFont="1" applyFill="1" applyBorder="1" applyAlignment="1">
      <x:alignment horizontal="left" vertical="center" wrapText="1"/>
    </x:xf>
    <x:xf numFmtId="0" fontId="43" fillId="68" borderId="5" xfId="0" applyNumberFormat="1" applyFont="1" applyFill="1" applyBorder="1" applyAlignment="1">
      <x:alignment horizontal="center" vertical="center" wrapText="1"/>
    </x:xf>
    <x:xf numFmtId="200" fontId="41" fillId="45" borderId="9" xfId="0" applyNumberFormat="1" applyFont="1" applyFill="1" applyBorder="1" applyAlignment="1">
      <x:alignment horizontal="left" vertical="center" wrapText="1"/>
    </x:xf>
    <x:xf numFmtId="200" fontId="41" fillId="45" borderId="0" xfId="0" applyNumberFormat="1" applyFont="1" applyFill="1" applyBorder="1" applyAlignment="1">
      <x:alignment horizontal="left" vertical="center" wrapText="1"/>
    </x:xf>
    <x:xf numFmtId="0" fontId="41" fillId="61" borderId="8" xfId="0" applyNumberFormat="1" applyFont="1" applyFill="1" applyBorder="1" applyAlignment="1">
      <x:alignment horizontal="left" vertical="center" wrapText="1"/>
    </x:xf>
    <x:xf numFmtId="0" fontId="52" fillId="61" borderId="8" xfId="0" applyNumberFormat="1" applyFont="1" applyFill="1" applyBorder="1" applyAlignment="1">
      <x:alignment horizontal="left" vertical="center" wrapText="1"/>
    </x:xf>
    <x:xf numFmtId="0" fontId="52" fillId="61" borderId="87" xfId="0" applyNumberFormat="1" applyFont="1" applyFill="1" applyBorder="1" applyAlignment="1">
      <x:alignment horizontal="left" vertical="center" wrapText="1"/>
    </x:xf>
    <x:xf numFmtId="0" fontId="52" fillId="61" borderId="87" xfId="0" applyNumberFormat="1" applyFont="1" applyFill="1" applyBorder="1" applyAlignment="1">
      <x:alignment horizontal="center" vertical="center" wrapText="1"/>
    </x:xf>
    <x:xf numFmtId="0" fontId="52" fillId="61" borderId="0" xfId="0" applyNumberFormat="1" applyFont="1" applyFill="1" applyBorder="1" applyAlignment="1">
      <x:alignment horizontal="left" vertical="center" wrapText="1"/>
    </x:xf>
    <x:xf numFmtId="0" fontId="41" fillId="61" borderId="9" xfId="0" applyNumberFormat="1" applyFont="1" applyFill="1" applyBorder="1" applyAlignment="1">
      <x:alignment horizontal="left" vertical="center" wrapText="1"/>
    </x:xf>
    <x:xf numFmtId="0" fontId="52" fillId="61" borderId="9" xfId="0" applyNumberFormat="1" applyFont="1" applyFill="1" applyBorder="1" applyAlignment="1">
      <x:alignment horizontal="left" vertical="center" wrapText="1"/>
    </x:xf>
    <x:xf numFmtId="200" fontId="41" fillId="61" borderId="9" xfId="0" applyNumberFormat="1" applyFont="1" applyFill="1" applyBorder="1" applyAlignment="1">
      <x:alignment horizontal="left" vertical="center" wrapText="1"/>
    </x:xf>
    <x:xf numFmtId="200" fontId="52" fillId="61" borderId="9" xfId="0" applyNumberFormat="1" applyFont="1" applyFill="1" applyBorder="1" applyAlignment="1">
      <x:alignment horizontal="left" vertical="center" wrapText="1"/>
    </x:xf>
    <x:xf numFmtId="200" fontId="52" fillId="61" borderId="87" xfId="0" applyNumberFormat="1" applyFont="1" applyFill="1" applyBorder="1" applyAlignment="1">
      <x:alignment horizontal="left" vertical="center" wrapText="1"/>
    </x:xf>
    <x:xf numFmtId="200" fontId="52" fillId="61" borderId="87" xfId="0" applyNumberFormat="1" applyFont="1" applyFill="1" applyBorder="1" applyAlignment="1">
      <x:alignment horizontal="center" vertical="center" wrapText="1"/>
    </x:xf>
    <x:xf numFmtId="0" fontId="36" fillId="8" borderId="0" xfId="0" applyNumberFormat="1" applyFont="1" applyFill="1" applyBorder="1" applyAlignment="1">
      <x:alignment horizontal="left" vertical="center"/>
    </x:xf>
    <x:xf numFmtId="0" fontId="45" fillId="34" borderId="0" xfId="0" applyNumberFormat="1" applyFont="1" applyFill="1" applyBorder="1" applyAlignment="1">
      <x:alignment horizontal="center" vertical="center" wrapText="1"/>
    </x:xf>
    <x:xf numFmtId="0" fontId="37" fillId="35" borderId="0" xfId="0" applyNumberFormat="1" applyFont="1" applyFill="1" applyBorder="1" applyAlignment="1">
      <x:alignment horizontal="center" vertical="center" wrapText="1"/>
    </x:xf>
    <x:xf numFmtId="0" fontId="38" fillId="7" borderId="0" xfId="0" applyNumberFormat="1" applyFont="1" applyFill="1" applyBorder="1" applyAlignment="1">
      <x:alignment horizontal="center" vertical="center" wrapText="1"/>
    </x:xf>
    <x:xf numFmtId="0" fontId="39" fillId="7" borderId="0" xfId="0" applyNumberFormat="1" applyFont="1" applyFill="1" applyBorder="1" applyAlignment="1">
      <x:alignment vertical="center" wrapText="1"/>
    </x:xf>
    <x:xf numFmtId="0" fontId="46" fillId="7" borderId="0" xfId="0" applyNumberFormat="1" applyFont="1" applyFill="1" applyBorder="1" applyAlignment="1">
      <x:alignment horizontal="center" vertical="center" wrapText="1"/>
    </x:xf>
    <x:xf numFmtId="0" fontId="47" fillId="7" borderId="0" xfId="0" applyNumberFormat="1" applyFont="1" applyFill="1" applyBorder="1" applyAlignment="1">
      <x:alignment vertical="center" wrapText="1"/>
    </x:xf>
    <x:xf numFmtId="0" fontId="48" fillId="60" borderId="0" xfId="0" applyNumberFormat="1" applyFont="1" applyFill="1" applyBorder="1" applyAlignment="1">
      <x:alignment horizontal="left" vertical="top" wrapText="1"/>
    </x:xf>
    <x:xf numFmtId="0" fontId="41" fillId="4" borderId="0" xfId="0" applyNumberFormat="1" applyFont="1" applyFill="1" applyBorder="1" applyAlignment="1">
      <x:alignment horizontal="left" vertical="center" wrapText="1"/>
    </x:xf>
    <x:xf numFmtId="0" fontId="49" fillId="60" borderId="0" xfId="0" applyNumberFormat="1" applyFont="1" applyFill="1" applyBorder="1" applyAlignment="1">
      <x:alignment horizontal="left" vertical="top" wrapText="1"/>
    </x:xf>
    <x:xf numFmtId="0" fontId="42" fillId="4" borderId="0" xfId="0" applyNumberFormat="1" applyFont="1" applyFill="1" applyBorder="1" applyAlignment="1">
      <x:alignment horizontal="left" vertical="center" wrapText="1"/>
    </x:xf>
    <x:xf numFmtId="0" fontId="27" fillId="44" borderId="0" xfId="0" applyNumberFormat="1" applyFont="1" applyFill="1" applyBorder="1" applyAlignment="1">
      <x:alignment vertical="center" wrapText="1"/>
    </x:xf>
    <x:xf numFmtId="0" fontId="48" fillId="44" borderId="0" xfId="0" applyNumberFormat="1" applyFont="1" applyFill="1" applyBorder="1" applyAlignment="1">
      <x:alignment vertical="center" wrapText="1"/>
    </x:xf>
    <x:xf numFmtId="0" fontId="48" fillId="44" borderId="0" xfId="0" applyNumberFormat="1" applyFont="1" applyFill="1" applyBorder="1" applyAlignment="1">
      <x:alignment horizontal="left" vertical="center" wrapText="1"/>
    </x:xf>
    <x:xf numFmtId="0" fontId="48" fillId="44" borderId="0" xfId="0" applyNumberFormat="1" applyFont="1" applyFill="1" applyBorder="1" applyAlignment="1">
      <x:alignment horizontal="left" vertical="top" wrapText="1"/>
    </x:xf>
    <x:xf numFmtId="0" fontId="49" fillId="44" borderId="0" xfId="0" applyNumberFormat="1" applyFont="1" applyFill="1" applyBorder="1" applyAlignment="1">
      <x:alignment horizontal="left" vertical="center" wrapText="1"/>
    </x:xf>
    <x:xf numFmtId="0" fontId="49" fillId="44" borderId="0" xfId="0" applyNumberFormat="1" applyFont="1" applyFill="1" applyBorder="1" applyAlignment="1">
      <x:alignment horizontal="left" vertical="top" wrapText="1"/>
    </x:xf>
    <x:xf numFmtId="0" fontId="31" fillId="45" borderId="0" xfId="0" applyNumberFormat="1" applyFont="1" applyFill="1" applyBorder="1" applyAlignment="1">
      <x:alignment vertical="center" wrapText="1"/>
    </x:xf>
    <x:xf numFmtId="0" fontId="48" fillId="45" borderId="0" xfId="0" applyNumberFormat="1" applyFont="1" applyFill="1" applyBorder="1" applyAlignment="1">
      <x:alignment vertical="center" wrapText="1"/>
    </x:xf>
    <x:xf numFmtId="0" fontId="48" fillId="45" borderId="0" xfId="0" applyNumberFormat="1" applyFont="1" applyFill="1" applyBorder="1" applyAlignment="1">
      <x:alignment horizontal="left" vertical="center" wrapText="1"/>
    </x:xf>
    <x:xf numFmtId="0" fontId="48" fillId="45" borderId="0" xfId="0" applyNumberFormat="1" applyFont="1" applyFill="1" applyBorder="1" applyAlignment="1">
      <x:alignment horizontal="left" vertical="top" wrapText="1"/>
    </x:xf>
    <x:xf numFmtId="0" fontId="42" fillId="45" borderId="0" xfId="0" applyNumberFormat="1" applyFont="1" applyFill="1" applyBorder="1" applyAlignment="1">
      <x:alignment horizontal="left" vertical="center" wrapText="1"/>
    </x:xf>
    <x:xf numFmtId="0" fontId="49" fillId="45" borderId="0" xfId="0" applyNumberFormat="1" applyFont="1" applyFill="1" applyBorder="1" applyAlignment="1">
      <x:alignment horizontal="left" vertical="center" wrapText="1"/>
    </x:xf>
    <x:xf numFmtId="0" fontId="49" fillId="45" borderId="0" xfId="0" applyNumberFormat="1" applyFont="1" applyFill="1" applyBorder="1" applyAlignment="1">
      <x:alignment horizontal="left" vertical="top" wrapText="1"/>
    </x:xf>
    <x:xf numFmtId="0" fontId="31" fillId="46" borderId="0" xfId="0" applyNumberFormat="1" applyFont="1" applyFill="1" applyBorder="1" applyAlignment="1">
      <x:alignment vertical="center" wrapText="1"/>
    </x:xf>
    <x:xf numFmtId="0" fontId="48" fillId="46" borderId="0" xfId="0" applyNumberFormat="1" applyFont="1" applyFill="1" applyBorder="1" applyAlignment="1">
      <x:alignment vertical="center" wrapText="1"/>
    </x:xf>
    <x:xf numFmtId="0" fontId="48" fillId="46" borderId="0" xfId="0" applyNumberFormat="1" applyFont="1" applyFill="1" applyBorder="1" applyAlignment="1">
      <x:alignment horizontal="left" vertical="center" wrapText="1"/>
    </x:xf>
    <x:xf numFmtId="0" fontId="48" fillId="46" borderId="0" xfId="0" applyNumberFormat="1" applyFont="1" applyFill="1" applyBorder="1" applyAlignment="1">
      <x:alignment horizontal="left" vertical="top" wrapText="1"/>
    </x:xf>
    <x:xf numFmtId="0" fontId="42" fillId="46" borderId="0" xfId="0" applyNumberFormat="1" applyFont="1" applyFill="1" applyBorder="1" applyAlignment="1">
      <x:alignment horizontal="left" vertical="center" wrapText="1"/>
    </x:xf>
    <x:xf numFmtId="0" fontId="49" fillId="46" borderId="0" xfId="0" applyNumberFormat="1" applyFont="1" applyFill="1" applyBorder="1" applyAlignment="1">
      <x:alignment horizontal="left" vertical="center" wrapText="1"/>
    </x:xf>
    <x:xf numFmtId="0" fontId="49" fillId="46" borderId="0" xfId="0" applyNumberFormat="1" applyFont="1" applyFill="1" applyBorder="1" applyAlignment="1">
      <x:alignment horizontal="left" vertical="top" wrapText="1"/>
    </x:xf>
    <x:xf numFmtId="0" fontId="32" fillId="47" borderId="0" xfId="0" applyNumberFormat="1" applyFont="1" applyFill="1" applyBorder="1" applyAlignment="1">
      <x:alignment vertical="center" wrapText="1"/>
    </x:xf>
    <x:xf numFmtId="0" fontId="48" fillId="47" borderId="0" xfId="0" applyNumberFormat="1" applyFont="1" applyFill="1" applyBorder="1" applyAlignment="1">
      <x:alignment vertical="center" wrapText="1"/>
    </x:xf>
    <x:xf numFmtId="0" fontId="48" fillId="47" borderId="0" xfId="0" applyNumberFormat="1" applyFont="1" applyFill="1" applyBorder="1" applyAlignment="1">
      <x:alignment horizontal="left" vertical="center" wrapText="1"/>
    </x:xf>
    <x:xf numFmtId="0" fontId="48" fillId="47" borderId="0" xfId="0" applyNumberFormat="1" applyFont="1" applyFill="1" applyBorder="1" applyAlignment="1">
      <x:alignment horizontal="left" vertical="top" wrapText="1"/>
    </x:xf>
    <x:xf numFmtId="0" fontId="32" fillId="48" borderId="0" xfId="0" applyNumberFormat="1" applyFont="1" applyFill="1" applyBorder="1" applyAlignment="1">
      <x:alignment vertical="center" wrapText="1"/>
    </x:xf>
    <x:xf numFmtId="0" fontId="48" fillId="48" borderId="0" xfId="0" applyNumberFormat="1" applyFont="1" applyFill="1" applyBorder="1" applyAlignment="1">
      <x:alignment vertical="center" wrapText="1"/>
    </x:xf>
    <x:xf numFmtId="0" fontId="48" fillId="48" borderId="0" xfId="0" applyNumberFormat="1" applyFont="1" applyFill="1" applyBorder="1" applyAlignment="1">
      <x:alignment horizontal="left" vertical="center" wrapText="1"/>
    </x:xf>
    <x:xf numFmtId="0" fontId="48" fillId="48" borderId="0" xfId="0" applyNumberFormat="1" applyFont="1" applyFill="1" applyBorder="1" applyAlignment="1">
      <x:alignment horizontal="left" vertical="top" wrapText="1"/>
    </x:xf>
    <x:xf numFmtId="0" fontId="50" fillId="43" borderId="0" xfId="0" applyNumberFormat="1" applyFont="1" applyFill="1" applyBorder="1" applyAlignment="1">
      <x:alignment horizontal="left" vertical="center" wrapText="1"/>
    </x:xf>
    <x:xf numFmtId="0" fontId="50" fillId="43" borderId="0" xfId="0" applyNumberFormat="1" applyFont="1" applyFill="1" applyBorder="1" applyAlignment="1">
      <x:alignment horizontal="center" vertical="center" wrapText="1"/>
    </x:xf>
    <x:xf numFmtId="0" fontId="51" fillId="43" borderId="0" xfId="0" applyNumberFormat="1" applyFont="1" applyFill="1" applyBorder="1" applyAlignment="1">
      <x:alignment horizontal="left" vertical="center" wrapText="1"/>
    </x:xf>
    <x:xf numFmtId="0" fontId="51" fillId="43" borderId="0" xfId="0" applyNumberFormat="1" applyFont="1" applyFill="1" applyBorder="1" applyAlignment="1">
      <x:alignment horizontal="center" vertical="center" wrapText="1"/>
    </x:xf>
    <x:xf numFmtId="0" fontId="26" fillId="8" borderId="0" xfId="0" applyNumberFormat="1" applyFont="1" applyFill="1" applyBorder="1" applyAlignment="1">
      <x:alignment vertical="center" wrapText="1"/>
    </x:xf>
    <x:xf numFmtId="0" fontId="31" fillId="8" borderId="0" xfId="0" applyNumberFormat="1" applyFont="1" applyFill="1" applyBorder="1" applyAlignment="1">
      <x:alignment vertical="center" wrapText="1"/>
    </x:xf>
    <x:xf numFmtId="0" fontId="32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horizontal="left" vertical="center" wrapText="1"/>
    </x:xf>
    <x:xf numFmtId="0" fontId="41" fillId="49" borderId="0" xfId="0" applyNumberFormat="1" applyFont="1" applyFill="1" applyBorder="1" applyAlignment="1">
      <x:alignment horizontal="left" vertical="center" wrapText="1"/>
    </x:xf>
    <x:xf numFmtId="0" fontId="43" fillId="49" borderId="0" xfId="0" applyNumberFormat="1" applyFont="1" applyFill="1" applyBorder="1" applyAlignment="1">
      <x:alignment horizontal="left" vertical="center" wrapText="1"/>
    </x:xf>
    <x:xf numFmtId="0" fontId="52" fillId="4" borderId="0" xfId="0" applyNumberFormat="1" applyFont="1" applyFill="1" applyBorder="1" applyAlignment="1">
      <x:alignment horizontal="left" vertical="center" wrapText="1"/>
    </x:xf>
    <x:xf numFmtId="0" fontId="52" fillId="4" borderId="0" xfId="0" applyNumberFormat="1" applyFont="1" applyFill="1" applyBorder="1" applyAlignment="1">
      <x:alignment horizontal="center" vertical="center" wrapText="1"/>
    </x:xf>
    <x:xf numFmtId="200" fontId="41" fillId="4" borderId="0" xfId="0" applyNumberFormat="1" applyFont="1" applyFill="1" applyBorder="1" applyAlignment="1">
      <x:alignment horizontal="left" vertical="center" wrapText="1"/>
    </x:xf>
    <x:xf numFmtId="200" fontId="52" fillId="4" borderId="0" xfId="0" applyNumberFormat="1" applyFont="1" applyFill="1" applyBorder="1" applyAlignment="1">
      <x:alignment horizontal="left" vertical="center" wrapText="1"/>
    </x:xf>
    <x:xf numFmtId="200" fontId="52" fillId="4" borderId="0" xfId="0" applyNumberFormat="1" applyFont="1" applyFill="1" applyBorder="1" applyAlignment="1">
      <x:alignment horizontal="center" vertical="center" wrapText="1"/>
    </x:xf>
    <x:xf numFmtId="0" fontId="0" fillId="69" borderId="0" xfId="0" applyNumberFormat="1" applyFont="1" applyFill="1" applyBorder="1"/>
    <x:xf numFmtId="0" fontId="1" fillId="69" borderId="0" xfId="0" applyNumberFormat="1" applyFont="1" applyFill="1" applyBorder="1"/>
    <x:xf numFmtId="0" fontId="0" fillId="70" borderId="0" xfId="0" applyNumberFormat="1" applyFont="1" applyFill="1" applyBorder="1"/>
    <x:xf numFmtId="0" fontId="53" fillId="70" borderId="0" xfId="0" applyNumberFormat="1" applyFont="1" applyFill="1" applyBorder="1"/>
    <x:xf numFmtId="0" fontId="53" fillId="70" borderId="0" xfId="0" applyNumberFormat="1" applyFont="1" applyFill="1" applyBorder="1" applyAlignment="1">
      <x:alignment wrapText="1"/>
    </x:xf>
    <x:xf numFmtId="0" fontId="0" fillId="71" borderId="0" xfId="0" applyNumberFormat="1" applyFont="1" applyFill="1" applyBorder="1"/>
    <x:xf numFmtId="0" fontId="53" fillId="71" borderId="0" xfId="0" applyNumberFormat="1" applyFont="1" applyFill="1" applyBorder="1"/>
    <x:xf numFmtId="0" fontId="1" fillId="71" borderId="0" xfId="0" applyNumberFormat="1" applyFont="1" applyFill="1" applyBorder="1"/>
    <x:xf numFmtId="0" fontId="0" fillId="72" borderId="0" xfId="0" applyNumberFormat="1" applyFont="1" applyFill="1" applyBorder="1"/>
    <x:xf numFmtId="0" fontId="54" fillId="72" borderId="0" xfId="0" applyNumberFormat="1" applyFont="1" applyFill="1" applyBorder="1"/>
    <x:xf numFmtId="0" fontId="1" fillId="72" borderId="0" xfId="0" applyNumberFormat="1" applyFont="1" applyFill="1" applyBorder="1"/>
    <x:xf numFmtId="0" fontId="1" fillId="72" borderId="0" xfId="0" applyNumberFormat="1" applyFont="1" applyFill="1" applyBorder="1" applyAlignment="1">
      <x:alignment wrapText="1"/>
    </x:xf>
    <x:xf numFmtId="201" fontId="0" fillId="0" xfId="0" applyNumberFormat="1" applyFont="1" applyFill="1" applyBorder="0" applyAlignment="1">
      <x:alignment vertical="top" wrapText="1"/>
    </x:xf>
  </x:cellXfs>
  <x:cellStyles count="1">
    <x:cellStyle name="Normal" xfId="0"/>
  </x:cellStyles>
  <x:dxfs count="18">
    <x:dxf>
      <x:fill>
        <x:patternFill>
          <x:bgColor rgb="FFDFF3E7"/>
        </x:patternFill>
      </x:fill>
    </x:dxf>
    <x:dxf>
      <x:fill>
        <x:patternFill>
          <x:bgColor rgb="FFDDEBFF"/>
        </x:patternFill>
      </x:fill>
    </x:dxf>
    <x:dxf>
      <x:fill>
        <x:patternFill>
          <x:bgColor rgb="FFFDE2E2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FE5CC"/>
        </x:patternFill>
      </x:fill>
    </x:dxf>
    <x:dxf>
      <x:font>
        <x:b/>
        <x:color rgb="FF8A5A00"/>
      </x:font>
      <x:fill>
        <x:patternFill>
          <x:bgColor rgb="FFFFF3CD"/>
        </x:patternFill>
      </x:fill>
    </x:dxf>
    <x:dxf>
      <x:font>
        <x:b/>
      </x:font>
      <x:fill>
        <x:patternFill>
          <x:bgColor rgb="FFEEF1F3"/>
        </x:patternFill>
      </x:fill>
    </x:dxf>
    <x:dxf>
      <x:font>
        <x:b/>
      </x:font>
      <x:fill>
        <x:patternFill>
          <x:bgColor rgb="FFDBEAFE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EDE9FE"/>
        </x:patternFill>
      </x:fill>
    </x:dxf>
    <x:dxf>
      <x:font>
        <x:b/>
      </x:font>
      <x:fill>
        <x:patternFill>
          <x:bgColor rgb="FFFEE2E2"/>
        </x:patternFill>
      </x:fill>
    </x:dxf>
    <x:dxf>
      <x:font>
        <x:b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8A5A00"/>
      </x:font>
      <x:fill>
        <x:patternFill>
          <x:bgColor rgb="FFFFF3CD"/>
        </x:patternFill>
      </x:fill>
    </x:dxf>
    <x:dxf>
      <x:font>
        <x:b/>
        <x:color rgb="FF1D4ED8"/>
      </x:font>
      <x:fill>
        <x:patternFill>
          <x:bgColor rgb="FFEAF2FF"/>
        </x:patternFill>
      </x:fill>
    </x:dxf>
    <x:dxf>
      <x:font>
        <x:b/>
        <x:color rgb="FF7E22CE"/>
      </x:font>
      <x:fill>
        <x:patternFill>
          <x:bgColor rgb="FFF3E8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7624a547b426d" /><Relationship Type="http://schemas.openxmlformats.org/officeDocument/2006/relationships/theme" Target="/xl/theme/theme1.xml" Id="R5f80d7c1acb74a8a" /><Relationship Type="http://schemas.openxmlformats.org/officeDocument/2006/relationships/sharedStrings" Target="/xl/sharedStrings.xml" Id="Rd3e246478c7e4ca9" /><Relationship Type="http://schemas.openxmlformats.org/officeDocument/2006/relationships/worksheet" Target="/xl/worksheets/sheet1.xml" Id="R28182684791f426d" /><Relationship Type="http://schemas.openxmlformats.org/officeDocument/2006/relationships/worksheet" Target="/xl/worksheets/sheet2.xml" Id="R826a4ee57a3f46ad" /><Relationship Type="http://schemas.openxmlformats.org/officeDocument/2006/relationships/worksheet" Target="/xl/worksheets/sheet3.xml" Id="R79b23bb42d304e55" /><Relationship Type="http://schemas.openxmlformats.org/officeDocument/2006/relationships/worksheet" Target="/xl/worksheets/sheet4.xml" Id="R168ce640583345ff" /><Relationship Type="http://schemas.openxmlformats.org/officeDocument/2006/relationships/worksheet" Target="/xl/worksheets/sheet5.xml" Id="R1463d01a430a4d0a" /><Relationship Type="http://schemas.openxmlformats.org/officeDocument/2006/relationships/worksheet" Target="/xl/worksheets/sheet6.xml" Id="Rf8676021ea7242e0" /><Relationship Type="http://schemas.openxmlformats.org/officeDocument/2006/relationships/worksheet" Target="/xl/worksheets/sheet7.xml" Id="R69cde81df10f4538" /><Relationship Type="http://schemas.openxmlformats.org/officeDocument/2006/relationships/worksheet" Target="/xl/worksheets/sheet8.xml" Id="R2a9ace58fa7d437f" /><Relationship Type="http://schemas.openxmlformats.org/officeDocument/2006/relationships/worksheet" Target="/xl/worksheets/sheet9.xml" Id="R09f3335b3f6f4c34" /><Relationship Type="http://schemas.openxmlformats.org/officeDocument/2006/relationships/worksheet" Target="/xl/worksheets/sheet10.xml" Id="Re508f56928ad41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d0061ef74a4105" /><Relationship Type="http://schemas.openxmlformats.org/officeDocument/2006/relationships/chart" Target="/xl/drawings/charts/chart2.xml" Id="Rdfb9ce8b2140468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do MVP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'Dashboard'!$A$7:$A$12</c:f>
              <c:strCache>
                <c:ptCount val="0"/>
              </c:strCache>
            </c:strRef>
          </c:cat>
          <c:val>
            <c:numRef>
              <c:f>'Dashboard'!$B$7:$B$12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Carga por sprint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'Dashboard'!$D$6:$D$12</c:f>
              <c:strCache>
                <c:ptCount val="0"/>
              </c:strCache>
            </c:strRef>
          </c:cat>
          <c:val>
            <c:numRef>
              <c:f>'Dashboard'!$E$6:$E$12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5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d0061ef74a4105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b9ce8b2140468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cklogPlantel" displayName="BacklogPlantel" ref="A1:N97" headerRowCount="1" totalsRowCount="0" totalsRowShown="0">
  <x:tableColumns count="14">
    <x:tableColumn id="1" name="ID"/>
    <x:tableColumn id="2" name="Épico / Módulo"/>
    <x:tableColumn id="3" name="Tarefa"/>
    <x:tableColumn id="4" name="Descrição / Critério de aceite"/>
    <x:tableColumn id="5" name="Tipo"/>
    <x:tableColumn id="6" name="Fase"/>
    <x:tableColumn id="7" name="Sprint"/>
    <x:tableColumn id="8" name="Prioridade"/>
    <x:tableColumn id="9" name="Status"/>
    <x:tableColumn id="10" name="Responsável"/>
    <x:tableColumn id="11" name="Dependências"/>
    <x:tableColumn id="12" name="Estimativa (pts)"/>
    <x:tableColumn id="13" name="LGPD / Segurança"/>
    <x:tableColumn id="14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03b55dc55848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c543d9ca7d40f7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1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115" t="str">
        <x:v>PLANTEL — BACKLOG DE LANÇAMENTO / DEV &amp; PROD</x:v>
      </x:c>
      <x:c r="B1" s="115"/>
      <x:c r="C1" s="115"/>
      <x:c r="D1" s="115"/>
      <x:c r="E1" s="115"/>
      <x:c r="F1" s="115"/>
      <x:c r="G1" s="115"/>
      <x:c r="H1" s="115"/>
      <x:c r="I1" s="127"/>
      <x:c r="J1" s="127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2">
      <x:c r="A2" s="115" t="str">
        <x:v>99 IDs HISTÓRICOS | 96 DE LANÇAMENTO | 3 CONDICIONAIS 1.0.x</x:v>
      </x:c>
      <x:c r="B2" s="115"/>
      <x:c r="C2" s="115"/>
      <x:c r="D2" s="115"/>
      <x:c r="E2" s="115"/>
      <x:c r="F2" s="115"/>
      <x:c r="G2" s="115"/>
      <x:c r="H2" s="115"/>
      <x:c r="I2" s="127"/>
      <x:c r="J2" s="127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</x:row>
    <x:row r="3">
      <x:c r="A3" s="222" t="str">
        <x:v>99 IDs históricos; 96 tarefas de lançamento, 3 condicionais fora do compromisso. F0 primeiro; GitHub único, Supabase DEV Free e PROD Pro.</x:v>
      </x:c>
      <x:c r="B3" s="222"/>
      <x:c r="C3" s="222"/>
      <x:c r="D3" s="222"/>
      <x:c r="E3" s="222"/>
      <x:c r="F3" s="222"/>
      <x:c r="G3" s="222"/>
      <x:c r="H3" s="222"/>
      <x:c r="I3" s="223"/>
      <x:c r="J3" s="223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</x:row>
    <x:row r="4">
      <x:c r="A4" s="71"/>
      <x:c r="B4" s="71"/>
      <x:c r="C4" s="71"/>
      <x:c r="D4" s="71"/>
      <x:c r="E4" s="71"/>
      <x:c r="F4" s="71"/>
      <x:c r="G4" s="71"/>
      <x:c r="H4" s="71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226" t="str">
        <x:v>EXECUÇÃO</x:v>
      </x:c>
      <x:c r="B5" s="227" t="str">
        <x:v>VALOR</x:v>
      </x:c>
      <x:c r="C5" s="71"/>
      <x:c r="D5" s="229" t="str">
        <x:v>SPRINT</x:v>
      </x:c>
      <x:c r="E5" s="229" t="str">
        <x:v>TAREFAS</x:v>
      </x:c>
      <x:c r="F5" s="71"/>
      <x:c r="G5" s="229" t="str">
        <x:v>EQUIPE</x:v>
      </x:c>
      <x:c r="H5" s="229" t="str">
        <x:v>TAREFAS</x:v>
      </x:c>
      <x:c r="I5" s="108" t="str">
        <x:v>PLANEJAMENTO</x:v>
      </x:c>
      <x:c r="J5" s="108" t="str">
        <x:v>VALOR</x:v>
      </x:c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</x:row>
    <x:row r="6">
      <x:c r="A6" s="118" t="str">
        <x:v>Tarefas de lançamento</x:v>
      </x:c>
      <x:c r="B6" s="119" t="n">
        <x:f>COUNTA(Backlog!A2:A100)-COUNTIF(Backlog!I2:I100,"Reservado — fora do lançamento")</x:f>
        <x:v>96</x:v>
      </x:c>
      <x:c r="C6" s="71"/>
      <x:c r="D6" s="123" t="str">
        <x:v>F0</x:v>
      </x:c>
      <x:c r="E6" s="123" t="n">
        <x:f>COUNTIF(Backlog!$G$2:$G$100,D6)-COUNTIFS(Backlog!$G$2:$G$100,D6,Backlog!$I$2:$I$100,"Reservado — fora do lançamento")</x:f>
        <x:v>8</x:v>
      </x:c>
      <x:c r="F6" s="71"/>
      <x:c r="G6" s="123" t="str">
        <x:v>Gabriel / Samuel</x:v>
      </x:c>
      <x:c r="H6" s="1343" t="n">
        <x:f>COUNTIF(Backlog!$J$2:$J$100,G6)-COUNTIFS(Backlog!$J$2:$J$100,G6,Backlog!$I$2:$I$100,"Reservado — fora do lançamento")</x:f>
        <x:v>57</x:v>
      </x:c>
      <x:c r="I6" s="69" t="str">
        <x:v>Pontos MVP</x:v>
      </x:c>
      <x:c r="J6" s="69" t="n">
        <x:f>SUM(Backlog!L2:L100)-SUMIF(Backlog!I2:I100,"Reservado — fora do lançamento",Backlog!L2:L100)</x:f>
        <x:v>577</x:v>
      </x:c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</x:row>
    <x:row r="7">
      <x:c r="A7" s="118" t="str">
        <x:v>Backlog</x:v>
      </x:c>
      <x:c r="B7" s="119" t="n">
        <x:f>COUNTIF(Backlog!$I$2:$I$100,"Backlog")</x:f>
        <x:v>96</x:v>
      </x:c>
      <x:c r="C7" s="71"/>
      <x:c r="D7" s="123" t="str">
        <x:v>S0</x:v>
      </x:c>
      <x:c r="E7" s="123" t="n">
        <x:f>COUNTIF(Backlog!$G$2:$G$100,D7)-COUNTIFS(Backlog!$G$2:$G$100,D7,Backlog!$I$2:$I$100,"Reservado — fora do lançamento")</x:f>
        <x:v>16</x:v>
      </x:c>
      <x:c r="F7" s="71"/>
      <x:c r="G7" s="123" t="str">
        <x:v>Pedro / Miqueias</x:v>
      </x:c>
      <x:c r="H7" s="1343" t="n">
        <x:f>COUNTIF(Backlog!$J$2:$J$100,G7)-COUNTIFS(Backlog!$J$2:$J$100,G7,Backlog!$I$2:$I$100,"Reservado — fora do lançamento")</x:f>
        <x:v>26</x:v>
      </x:c>
      <x:c r="I7" s="69" t="str">
        <x:v>Prazo seguro</x:v>
      </x:c>
      <x:c r="J7" s="69" t="str">
        <x:v>5 a 6 meses</x:v>
      </x:c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</x:row>
    <x:row r="8">
      <x:c r="A8" s="118" t="str">
        <x:v>Pronto</x:v>
      </x:c>
      <x:c r="B8" s="119" t="n">
        <x:f>COUNTIF(Backlog!$I$2:$I$100,"Pronto")</x:f>
        <x:v>0</x:v>
      </x:c>
      <x:c r="C8" s="71"/>
      <x:c r="D8" s="123" t="str">
        <x:v>S1</x:v>
      </x:c>
      <x:c r="E8" s="123" t="n">
        <x:f>COUNTIF(Backlog!$G$2:$G$100,D8)-COUNTIFS(Backlog!$G$2:$G$100,D8,Backlog!$I$2:$I$100,"Reservado — fora do lançamento")</x:f>
        <x:v>18</x:v>
      </x:c>
      <x:c r="F8" s="71"/>
      <x:c r="G8" s="123" t="str">
        <x:v>Equipe completa</x:v>
      </x:c>
      <x:c r="H8" s="1343" t="n">
        <x:f>COUNTIF(Backlog!$J$2:$J$100,"Gabriel + Samuel + Pedro + Miqueias")-COUNTIFS(Backlog!$J$2:$J$100,"Gabriel + Samuel + Pedro + Miqueias",Backlog!$I$2:$I$100,"Reservado — fora do lançamento")</x:f>
        <x:v>5</x:v>
      </x:c>
      <x:c r="I8" s="69" t="str">
        <x:v>Futuro Fase B</x:v>
      </x:c>
      <x:c r="J8" s="69" t="n">
        <x:f>COUNTIF('Futuro — Fase B'!F7:F19,"Fase B")</x:f>
        <x:v>0</x:v>
      </x:c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</x:row>
    <x:row r="9">
      <x:c r="A9" s="118" t="str">
        <x:v>Em andamento</x:v>
      </x:c>
      <x:c r="B9" s="119" t="n">
        <x:f>COUNTIF(Backlog!$I$2:$I$100,"Em andamento")</x:f>
        <x:v>0</x:v>
      </x:c>
      <x:c r="C9" s="71"/>
      <x:c r="D9" s="123" t="str">
        <x:v>S2</x:v>
      </x:c>
      <x:c r="E9" s="123" t="n">
        <x:f>COUNTIF(Backlog!$G$2:$G$100,D9)-COUNTIFS(Backlog!$G$2:$G$100,D9,Backlog!$I$2:$I$100,"Reservado — fora do lançamento")</x:f>
        <x:v>21</x:v>
      </x:c>
      <x:c r="F9" s="71"/>
      <x:c r="G9" s="123" t="str">
        <x:v>Demais responsáveis</x:v>
      </x:c>
      <x:c r="H9" s="1343" t="n">
        <x:f>B6-SUM(H6:H8)</x:f>
        <x:v>8</x:v>
      </x:c>
      <x:c r="I9" s="69" t="str">
        <x:v>Versão 2</x:v>
      </x:c>
      <x:c r="J9" s="69" t="n">
        <x:f>COUNTIF('Futuro — Fase B'!F7:F19,"Versão 2")</x:f>
        <x:v>0</x:v>
      </x:c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</x:row>
    <x:row r="10">
      <x:c r="A10" s="118" t="str">
        <x:v>Em revisão</x:v>
      </x:c>
      <x:c r="B10" s="119" t="n">
        <x:f>COUNTIF(Backlog!$I$2:$I$100,"Em revisão")</x:f>
        <x:v>0</x:v>
      </x:c>
      <x:c r="C10" s="71"/>
      <x:c r="D10" s="123" t="str">
        <x:v>S3</x:v>
      </x:c>
      <x:c r="E10" s="123" t="n">
        <x:f>COUNTIF(Backlog!$G$2:$G$100,D10)-COUNTIFS(Backlog!$G$2:$G$100,D10,Backlog!$I$2:$I$100,"Reservado — fora do lançamento")</x:f>
        <x:v>12</x:v>
      </x:c>
      <x:c r="F10" s="71"/>
      <x:c r="G10" s="71"/>
      <x:c r="H10" s="71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</x:row>
    <x:row r="11">
      <x:c r="A11" s="118" t="str">
        <x:v>Bloqueado</x:v>
      </x:c>
      <x:c r="B11" s="119" t="n">
        <x:f>COUNTIF(Backlog!$I$2:$I$100,"Bloqueado")</x:f>
        <x:v>0</x:v>
      </x:c>
      <x:c r="C11" s="71"/>
      <x:c r="D11" s="71" t="str">
        <x:v>S4</x:v>
      </x:c>
      <x:c r="E11" s="71" t="n">
        <x:f>COUNTIF(Backlog!$G$2:$G$100,D11)-COUNTIFS(Backlog!$G$2:$G$100,D11,Backlog!$I$2:$I$100,"Reservado — fora do lançamento")</x:f>
        <x:v>12</x:v>
      </x:c>
      <x:c r="F11" s="71"/>
      <x:c r="G11" s="71"/>
      <x:c r="H11" s="71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</x:row>
    <x:row r="12">
      <x:c r="A12" s="120" t="str">
        <x:v>Concluído</x:v>
      </x:c>
      <x:c r="B12" s="121" t="n">
        <x:f>COUNTIF(Backlog!$I$2:$I$100,"Concluído")</x:f>
        <x:v>0</x:v>
      </x:c>
      <x:c r="C12" s="71"/>
      <x:c r="D12" s="71" t="str">
        <x:v>Beta</x:v>
      </x:c>
      <x:c r="E12" s="71" t="n">
        <x:f>COUNTIF(Backlog!$G$2:$G$100,D12)-COUNTIFS(Backlog!$G$2:$G$100,D12,Backlog!$I$2:$I$100,"Reservado — fora do lançamento")</x:f>
        <x:v>7</x:v>
      </x:c>
      <x:c r="F12" s="71"/>
      <x:c r="G12" s="71"/>
      <x:c r="H12" s="71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</x:row>
    <x:row r="13">
      <x:c r="A13" s="71" t="str">
        <x:v>% Concluído</x:v>
      </x:c>
      <x:c r="B13" s="73" t="n">
        <x:f>IF(B6=0,0,B12/B6)</x:f>
        <x:v>0</x:v>
      </x:c>
      <x:c r="C13" s="71"/>
      <x:c r="D13" s="71" t="str">
        <x:v>Estabilização</x:v>
      </x:c>
      <x:c r="E13" s="71" t="n">
        <x:f>COUNTIF(Backlog!$G$2:$G$100,D13)-COUNTIFS(Backlog!$G$2:$G$100,D13,Backlog!$I$2:$I$100,"Reservado — fora do lançamento")</x:f>
        <x:v>2</x:v>
      </x:c>
      <x:c r="F13" s="71"/>
      <x:c r="G13" s="71"/>
      <x:c r="H13" s="71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</x:row>
    <x:row r="14">
      <x:c r="A14" s="74"/>
      <x:c r="B14" s="74"/>
      <x:c r="C14" s="74"/>
      <x:c r="D14" s="74"/>
      <x:c r="E14" s="74"/>
      <x:c r="F14" s="74"/>
      <x:c r="G14" s="74"/>
      <x:c r="H14" s="74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</x:row>
    <x:row r="15">
      <x:c r="A15" s="236" t="str">
        <x:v>Itens condicionais 1.0.x</x:v>
      </x:c>
      <x:c r="B15" s="236" t="n">
        <x:v>3</x:v>
      </x:c>
      <x:c r="C15" s="236"/>
      <x:c r="D15" s="236"/>
      <x:c r="E15" s="236"/>
      <x:c r="F15" s="236"/>
      <x:c r="G15" s="236"/>
      <x:c r="H15" s="236"/>
      <x:c r="I15" s="237"/>
      <x:c r="J15" s="237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</x:row>
    <x:row r="16">
      <x:c r="A16" s="244" t="str">
        <x:f>REPT("■",ROUND($B$13*40,0))&amp;REPT("□",40-ROUND($B$13*40,0))&amp;"  "&amp;TEXT($B$13,"0%")</x:f>
        <x:v>□□□□□□□□□□□□□□□□□□□□□□□□□□□□□□□□□□□□□□□□  0%</x:v>
      </x:c>
      <x:c r="B16" s="244"/>
      <x:c r="C16" s="244"/>
      <x:c r="D16" s="244"/>
      <x:c r="E16" s="244"/>
      <x:c r="F16" s="244"/>
      <x:c r="G16" s="244"/>
      <x:c r="H16" s="244"/>
      <x:c r="I16" s="245"/>
      <x:c r="J16" s="245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</x:row>
    <x:row r="17">
      <x:c r="A17" s="244"/>
      <x:c r="B17" s="244"/>
      <x:c r="C17" s="244"/>
      <x:c r="D17" s="244"/>
      <x:c r="E17" s="244"/>
      <x:c r="F17" s="244"/>
      <x:c r="G17" s="244"/>
      <x:c r="H17" s="244"/>
      <x:c r="I17" s="245"/>
      <x:c r="J17" s="245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</x:row>
    <x:row r="18">
      <x:c r="A18" s="71"/>
      <x:c r="B18" s="71"/>
      <x:c r="C18" s="71"/>
      <x:c r="D18" s="71"/>
      <x:c r="E18" s="71"/>
      <x:c r="F18" s="71"/>
      <x:c r="G18" s="71"/>
      <x:c r="H18" s="71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</x:row>
    <x:row r="36">
      <x:c r="A36" s="190"/>
      <x:c r="B36" s="190"/>
      <x:c r="C36" s="190"/>
      <x:c r="D36" s="190"/>
      <x:c r="E36" s="190"/>
      <x:c r="F36" s="190"/>
      <x:c r="G36" s="190"/>
      <x:c r="H36" s="190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</x:row>
    <x:row r="37">
      <x:c r="A37" s="249" t="str">
        <x:v>Os gráficos acima são DINÂMICOS: quando o Status ou Sprint é alterado na aba Backlog, os contadores recalculam e os gráficos acompanham automaticamente no Excel.</x:v>
      </x:c>
      <x:c r="B37" s="249"/>
      <x:c r="C37" s="249"/>
      <x:c r="D37" s="249"/>
      <x:c r="E37" s="249"/>
      <x:c r="F37" s="249"/>
      <x:c r="G37" s="249"/>
      <x:c r="H37" s="249"/>
      <x:c r="I37" s="249"/>
      <x:c r="J37" s="24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</x:row>
    <x:row r="38">
      <x:c r="A38" s="249"/>
      <x:c r="B38" s="249"/>
      <x:c r="C38" s="249"/>
      <x:c r="D38" s="249"/>
      <x:c r="E38" s="249"/>
      <x:c r="F38" s="249"/>
      <x:c r="G38" s="249"/>
      <x:c r="H38" s="249"/>
      <x:c r="I38" s="249"/>
      <x:c r="J38" s="24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</x:row>
    <x:row r="39">
      <x:c r="A39" s="249"/>
      <x:c r="B39" s="249"/>
      <x:c r="C39" s="249"/>
      <x:c r="D39" s="249"/>
      <x:c r="E39" s="249"/>
      <x:c r="F39" s="249"/>
      <x:c r="G39" s="249"/>
      <x:c r="H39" s="249"/>
      <x:c r="I39" s="249"/>
      <x:c r="J39" s="24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</x:row>
  </x:sheetData>
  <x:mergeCells>
    <x:mergeCell ref="A1:H2"/>
    <x:mergeCell ref="A14:H14"/>
    <x:mergeCell ref="A36:H36"/>
    <x:mergeCell ref="A1:J2"/>
    <x:mergeCell ref="A3:J3"/>
    <x:mergeCell ref="A15:J15"/>
    <x:mergeCell ref="A16:J17"/>
    <x:mergeCell ref="A37:J39"/>
  </x:mergeCells>
  <x:conditionalFormatting sqref="B6:B12">
    <x:cfRule type="dataBar" priority="1">
      <x:dataBar>
        <x:cfvo type="min"/>
        <x:cfvo type="max"/>
        <x:color rgb="FF2F7D67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E6:E10">
    <x:cfRule type="dataBar" priority="2">
      <x:dataBar>
        <x:cfvo type="min"/>
        <x:cfvo type="max"/>
        <x:color rgb="FF5C7CFA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3f03b55dc55848d1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2F7D67"/>
            </x14:dataBar>
          </x14:cfRule>
          <xm:sqref>B6:B12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5C7CFA"/>
            </x14:dataBar>
          </x14:cfRule>
          <xm:sqref>E6:E10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31" hidden="0" customWidth="1"/>
    <x:col min="4" max="4" width="46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5" hidden="0" customWidth="1"/>
    <x:col min="10" max="10" width="30" hidden="0" customWidth="1"/>
    <x:col min="11" max="11" width="24" hidden="0" customWidth="1"/>
    <x:col min="12" max="12" width="14" hidden="0" customWidth="1"/>
    <x:col min="13" max="13" width="16" hidden="0" customWidth="1"/>
    <x:col min="14" max="14" width="32" hidden="0" customWidth="1"/>
  </x:cols>
  <x:sheetData>
    <x:row r="1" ht="34" customHeight="1">
      <x:c r="A1" s="191" t="str">
        <x:v>ID</x:v>
      </x:c>
      <x:c r="B1" s="191" t="str">
        <x:v>Épico / Módulo</x:v>
      </x:c>
      <x:c r="C1" s="191" t="str">
        <x:v>Tarefa</x:v>
      </x:c>
      <x:c r="D1" s="191" t="str">
        <x:v>Descrição / Critério de aceite</x:v>
      </x:c>
      <x:c r="E1" s="191" t="str">
        <x:v>Tipo</x:v>
      </x:c>
      <x:c r="F1" s="191" t="str">
        <x:v>Fase</x:v>
      </x:c>
      <x:c r="G1" s="191" t="str">
        <x:v>Sprint</x:v>
      </x:c>
      <x:c r="H1" s="191" t="str">
        <x:v>Prioridade</x:v>
      </x:c>
      <x:c r="I1" s="191" t="str">
        <x:v>Status</x:v>
      </x:c>
      <x:c r="J1" s="191" t="str">
        <x:v>Responsável</x:v>
      </x:c>
      <x:c r="K1" s="191" t="str">
        <x:v>Dependências</x:v>
      </x:c>
      <x:c r="L1" s="191" t="str">
        <x:v>Estimativa (pts)</x:v>
      </x:c>
      <x:c r="M1" s="191" t="str">
        <x:v>LGPD / Segurança</x:v>
      </x:c>
      <x:c r="N1" s="191" t="str">
        <x:v>Observações</x:v>
      </x:c>
      <x:c r="O1" s="69"/>
      <x:c r="P1" s="194" t="str">
        <x:v>BACKLOG ATIVO — MVP / FASE A</x:v>
      </x:c>
      <x:c r="Q1" s="194" t="str">
        <x:v>Escopo do lançamento</x:v>
      </x:c>
      <x:c r="R1" s="194"/>
      <x:c r="S1" s="194"/>
      <x:c r="T1" s="194"/>
      <x:c r="U1" s="194"/>
      <x:c r="V1" s="194"/>
      <x:c r="W1" s="69"/>
      <x:c r="X1" s="69"/>
      <x:c r="Y1" s="69"/>
      <x:c r="Z1" s="69"/>
    </x:row>
    <x:row r="2">
      <x:c r="A2" s="199" t="str">
        <x:v>PL-001</x:v>
      </x:c>
      <x:c r="B2" s="199" t="str">
        <x:v>Fundação</x:v>
      </x:c>
      <x:c r="C2" s="199" t="str">
        <x:v>Criar repositorio unico e padroes</x:v>
      </x:c>
      <x:c r="D2" s="199" t="str">
        <x:v>Criar um unico repositorio GitHub Plantel (backend/, frontend/, docs/v1/); cada dev clona; branches por Issue, PR, reviews e convenções documentadas.</x:v>
      </x:c>
      <x:c r="E2" s="199" t="str">
        <x:v>Infra</x:v>
      </x:c>
      <x:c r="F2" s="199" t="str">
        <x:v>Fundação</x:v>
      </x:c>
      <x:c r="G2" s="199" t="str">
        <x:v>S0</x:v>
      </x:c>
      <x:c r="H2" s="199" t="str">
        <x:v>Crítica</x:v>
      </x:c>
      <x:c r="I2" s="199" t="str">
        <x:v>Backlog</x:v>
      </x:c>
      <x:c r="J2" s="199" t="str">
        <x:v>Gabriel / Samuel</x:v>
      </x:c>
      <x:c r="K2" s="199" t="str">
        <x:v>-</x:v>
      </x:c>
      <x:c r="L2" s="200" t="n">
        <x:v>2</x:v>
      </x:c>
      <x:c r="M2" s="199" t="str">
        <x:v>Não</x:v>
      </x:c>
      <x:c r="N2" s="199" t="str"/>
      <x:c r="O2" s="69"/>
      <x:c r="P2" s="194"/>
      <x:c r="Q2" s="194" t="str">
        <x:v>V1 — lançamento</x:v>
      </x:c>
      <x:c r="R2" s="194"/>
      <x:c r="S2" s="194"/>
      <x:c r="T2" s="194"/>
      <x:c r="U2" s="194"/>
      <x:c r="V2" s="194"/>
      <x:c r="W2" s="69"/>
      <x:c r="X2" s="69"/>
      <x:c r="Y2" s="69"/>
      <x:c r="Z2" s="69"/>
    </x:row>
    <x:row r="3">
      <x:c r="A3" s="71" t="str">
        <x:v>PL-002</x:v>
      </x:c>
      <x:c r="B3" s="71" t="str">
        <x:v>Fundação</x:v>
      </x:c>
      <x:c r="C3" s="71" t="str">
        <x:v>Criar AGENTS.md e CLAUDE.md</x:v>
      </x:c>
      <x:c r="D3" s="71" t="str">
        <x:v>Criar AGENTS.md e instrucoes do agente no repositorio unico; Codex deve ler docs 01-08 antes de alterar arquivos.</x:v>
      </x:c>
      <x:c r="E3" s="71" t="str">
        <x:v>Produto</x:v>
      </x:c>
      <x:c r="F3" s="71" t="str">
        <x:v>Fundação</x:v>
      </x:c>
      <x:c r="G3" s="71" t="str">
        <x:v>S0</x:v>
      </x:c>
      <x:c r="H3" s="71" t="str">
        <x:v>Alta</x:v>
      </x:c>
      <x:c r="I3" s="71" t="str">
        <x:v>Backlog</x:v>
      </x:c>
      <x:c r="J3" s="71" t="str">
        <x:v>Gabriel / Samuel</x:v>
      </x:c>
      <x:c r="K3" s="71" t="str">
        <x:v>PL-001</x:v>
      </x:c>
      <x:c r="L3" s="92" t="n">
        <x:v>2</x:v>
      </x:c>
      <x:c r="M3" s="71" t="str">
        <x:v>Sim</x:v>
      </x:c>
      <x:c r="N3" s="71" t="str">
        <x:v>Não incluir secrets ou dados reais.</x:v>
      </x:c>
      <x:c r="O3" s="69"/>
      <x:c r="P3" s="198" t="str">
        <x:v>Somente V1. Funcionalidades futuras serão planejadas em novo backlog, mediante solicitação.</x:v>
      </x:c>
      <x:c r="Q3" s="198" t="str">
        <x:v>V1 — lançamento</x:v>
      </x:c>
      <x:c r="R3" s="198"/>
      <x:c r="S3" s="198"/>
      <x:c r="T3" s="198"/>
      <x:c r="U3" s="198"/>
      <x:c r="V3" s="198"/>
      <x:c r="W3" s="69"/>
      <x:c r="X3" s="69"/>
      <x:c r="Y3" s="69"/>
      <x:c r="Z3" s="69"/>
    </x:row>
    <x:row r="4">
      <x:c r="A4" s="199" t="str">
        <x:v>PL-003</x:v>
      </x:c>
      <x:c r="B4" s="199" t="str">
        <x:v>Fundação</x:v>
      </x:c>
      <x:c r="C4" s="199" t="str">
        <x:v>Configurar CI</x:v>
      </x:c>
      <x:c r="D4" s="199" t="str">
        <x:v>Pipeline roda lint/testes/build antes de merge e deploy.</x:v>
      </x:c>
      <x:c r="E4" s="199" t="str">
        <x:v>Infra</x:v>
      </x:c>
      <x:c r="F4" s="199" t="str">
        <x:v>Fundação</x:v>
      </x:c>
      <x:c r="G4" s="199" t="str">
        <x:v>S0</x:v>
      </x:c>
      <x:c r="H4" s="199" t="str">
        <x:v>Crítica</x:v>
      </x:c>
      <x:c r="I4" s="199" t="str">
        <x:v>Backlog</x:v>
      </x:c>
      <x:c r="J4" s="199" t="str">
        <x:v>Gabriel / Samuel</x:v>
      </x:c>
      <x:c r="K4" s="199" t="str">
        <x:v>PL-001</x:v>
      </x:c>
      <x:c r="L4" s="200" t="n">
        <x:v>3</x:v>
      </x:c>
      <x:c r="M4" s="199" t="str">
        <x:v>Sim</x:v>
      </x:c>
      <x:c r="N4" s="199" t="str"/>
      <x:c r="O4" s="69"/>
      <x:c r="P4" s="198"/>
      <x:c r="Q4" s="198" t="str">
        <x:v>V1 — lançamento</x:v>
      </x:c>
      <x:c r="R4" s="198"/>
      <x:c r="S4" s="198"/>
      <x:c r="T4" s="198"/>
      <x:c r="U4" s="198"/>
      <x:c r="V4" s="198"/>
      <x:c r="W4" s="69"/>
      <x:c r="X4" s="69"/>
      <x:c r="Y4" s="69"/>
      <x:c r="Z4" s="69"/>
    </x:row>
    <x:row r="5">
      <x:c r="A5" s="71" t="str">
        <x:v>PL-004</x:v>
      </x:c>
      <x:c r="B5" s="71" t="str">
        <x:v>Fundação</x:v>
      </x:c>
      <x:c r="C5" s="71" t="str">
        <x:v>Preparar ambientes DEV e PROD sem duplicar hospedagem</x:v>
      </x:c>
      <x:c r="D5" s="71" t="str">
        <x:v>Dev: backend Node/Express LOCAL; Supabase plantel-dev Free (dados ficticios); Vercel Preview no mesmo projeto. Prod: Render para API, Supabase plantel-prod Pro no lancamento e Vercel Production. Um GitHub; sem segundo Render e sem duas Vercel.</x:v>
      </x:c>
      <x:c r="E5" s="71" t="str">
        <x:v>Infra</x:v>
      </x:c>
      <x:c r="F5" s="71" t="str">
        <x:v>Fundação</x:v>
      </x:c>
      <x:c r="G5" s="71" t="str">
        <x:v>S0</x:v>
      </x:c>
      <x:c r="H5" s="71" t="str">
        <x:v>Crítica</x:v>
      </x:c>
      <x:c r="I5" s="71" t="str">
        <x:v>Backlog</x:v>
      </x:c>
      <x:c r="J5" s="71" t="str">
        <x:v>Gabriel / Samuel</x:v>
      </x:c>
      <x:c r="K5" s="71" t="str">
        <x:v>-</x:v>
      </x:c>
      <x:c r="L5" s="92" t="n">
        <x:v>3</x:v>
      </x:c>
      <x:c r="M5" s="71" t="str">
        <x:v>Sim</x:v>
      </x:c>
      <x:c r="N5" s="71" t="str">
        <x:v>Supabase Pro para Auth, banco e Realtime. Dados do produto somente via API Render; canais Realtime privados e autorizados.</x:v>
      </x:c>
      <x:c r="O5" s="69"/>
      <x:c r="P5" s="198"/>
      <x:c r="Q5" s="198" t="str">
        <x:v>V1 — lançamento</x:v>
      </x:c>
      <x:c r="R5" s="198"/>
      <x:c r="S5" s="198"/>
      <x:c r="T5" s="198"/>
      <x:c r="U5" s="198"/>
      <x:c r="V5" s="198"/>
      <x:c r="W5" s="69"/>
      <x:c r="X5" s="69"/>
      <x:c r="Y5" s="69"/>
      <x:c r="Z5" s="69"/>
    </x:row>
    <x:row r="6">
      <x:c r="A6" s="199" t="str">
        <x:v>PL-005</x:v>
      </x:c>
      <x:c r="B6" s="199" t="str">
        <x:v>Fundação</x:v>
      </x:c>
      <x:c r="C6" s="199" t="str">
        <x:v>Configurar API Node/Express</x:v>
      </x:c>
      <x:c r="D6" s="199" t="str">
        <x:v>API sobe com estrutura monólito modular + MVC + Service e healthcheck.</x:v>
      </x:c>
      <x:c r="E6" s="199" t="str">
        <x:v>Backend</x:v>
      </x:c>
      <x:c r="F6" s="199" t="str">
        <x:v>Fundação</x:v>
      </x:c>
      <x:c r="G6" s="199" t="str">
        <x:v>S0</x:v>
      </x:c>
      <x:c r="H6" s="199" t="str">
        <x:v>Crítica</x:v>
      </x:c>
      <x:c r="I6" s="199" t="str">
        <x:v>Backlog</x:v>
      </x:c>
      <x:c r="J6" s="199" t="str">
        <x:v>Gabriel / Samuel</x:v>
      </x:c>
      <x:c r="K6" s="199" t="str">
        <x:v>PL-001</x:v>
      </x:c>
      <x:c r="L6" s="200" t="n">
        <x:v>3</x:v>
      </x:c>
      <x:c r="M6" s="199" t="str">
        <x:v>Sim</x:v>
      </x:c>
      <x:c r="N6" s="199" t="str"/>
      <x:c r="O6" s="69"/>
      <x:c r="P6" s="69"/>
      <x:c r="Q6" s="69" t="str">
        <x:v>V1 — lançamento</x:v>
      </x:c>
      <x:c r="R6" s="69"/>
      <x:c r="S6" s="69"/>
      <x:c r="T6" s="69"/>
      <x:c r="U6" s="69"/>
      <x:c r="V6" s="69"/>
      <x:c r="W6" s="69"/>
      <x:c r="X6" s="69"/>
      <x:c r="Y6" s="69"/>
      <x:c r="Z6" s="69"/>
    </x:row>
    <x:row r="7">
      <x:c r="A7" s="71" t="str">
        <x:v>PL-006</x:v>
      </x:c>
      <x:c r="B7" s="71" t="str">
        <x:v>Fundação</x:v>
      </x:c>
      <x:c r="C7" s="71" t="str">
        <x:v>Configurar PostgreSQL Supabase DEV e migrations</x:v>
      </x:c>
      <x:c r="D7" s="71" t="str">
        <x:v>Conectar pg + Pool ao projeto plantel-dev Supabase Free com TLS/Pooler compatível; criar migrations V1 versionadas e aplicar em DEV somente apos aprovacao. Produção plantel-prod separada, Pro apenas no go-live; mesma migration validada, mediante autorização.</x:v>
      </x:c>
      <x:c r="E7" s="71" t="str">
        <x:v>Banco</x:v>
      </x:c>
      <x:c r="F7" s="71" t="str">
        <x:v>Fundação</x:v>
      </x:c>
      <x:c r="G7" s="71" t="str">
        <x:v>S0</x:v>
      </x:c>
      <x:c r="H7" s="71" t="str">
        <x:v>Crítica</x:v>
      </x:c>
      <x:c r="I7" s="71" t="str">
        <x:v>Backlog</x:v>
      </x:c>
      <x:c r="J7" s="71" t="str">
        <x:v>Gabriel / Samuel</x:v>
      </x:c>
      <x:c r="K7" s="71" t="str">
        <x:v>PL-004, PL-005</x:v>
      </x:c>
      <x:c r="L7" s="92" t="n">
        <x:v>3</x:v>
      </x:c>
      <x:c r="M7" s="71" t="str">
        <x:v>Sim</x:v>
      </x:c>
      <x:c r="N7" s="71" t="str">
        <x:v>Backend no Render; banco no Supabase Pro. Medir latência na S0 e nunca expor segredo de conexão ao navegador.</x:v>
      </x:c>
      <x:c r="O7" s="69"/>
      <x:c r="P7" s="69"/>
      <x:c r="Q7" s="69" t="str">
        <x:v>V1 — lançamento</x:v>
      </x:c>
      <x:c r="R7" s="69"/>
      <x:c r="S7" s="69"/>
      <x:c r="T7" s="69"/>
      <x:c r="U7" s="69"/>
      <x:c r="V7" s="69"/>
      <x:c r="W7" s="69"/>
      <x:c r="X7" s="69"/>
      <x:c r="Y7" s="69"/>
      <x:c r="Z7" s="69"/>
    </x:row>
    <x:row r="8">
      <x:c r="A8" s="199" t="str">
        <x:v>PL-007</x:v>
      </x:c>
      <x:c r="B8" s="199" t="str">
        <x:v>Fundação</x:v>
      </x:c>
      <x:c r="C8" s="199" t="str">
        <x:v>Definir autenticação Supabase Auth</x:v>
      </x:c>
      <x:c r="D8" s="199" t="str">
        <x:v>Cadastro, login, recuperação e sessão via Supabase Auth; API valida JWT/JWKS e relaciona sub/auth_user_id ao usuário interno.</x:v>
      </x:c>
      <x:c r="E8" s="199" t="str">
        <x:v>Backend</x:v>
      </x:c>
      <x:c r="F8" s="199" t="str">
        <x:v>Fundação</x:v>
      </x:c>
      <x:c r="G8" s="199" t="str">
        <x:v>S0</x:v>
      </x:c>
      <x:c r="H8" s="199" t="str">
        <x:v>Crítica</x:v>
      </x:c>
      <x:c r="I8" s="199" t="str">
        <x:v>Backlog</x:v>
      </x:c>
      <x:c r="J8" s="199" t="str">
        <x:v>Gabriel / Samuel</x:v>
      </x:c>
      <x:c r="K8" s="199" t="str">
        <x:v>PL-004, PL-005</x:v>
      </x:c>
      <x:c r="L8" s="200" t="n">
        <x:v>5</x:v>
      </x:c>
      <x:c r="M8" s="199" t="str">
        <x:v>Sim</x:v>
      </x:c>
      <x:c r="N8" s="199" t="str">
        <x:v>Supabase não é banco do produto; Auth fica terceirizado.</x:v>
      </x:c>
      <x:c r="O8" s="69"/>
      <x:c r="P8" s="69"/>
      <x:c r="Q8" s="69" t="str">
        <x:v>V1 — lançamento</x:v>
      </x:c>
      <x:c r="R8" s="69"/>
      <x:c r="S8" s="69"/>
      <x:c r="T8" s="69"/>
      <x:c r="U8" s="69"/>
      <x:c r="V8" s="69"/>
      <x:c r="W8" s="69"/>
      <x:c r="X8" s="69"/>
      <x:c r="Y8" s="69"/>
      <x:c r="Z8" s="69"/>
    </x:row>
    <x:row r="9">
      <x:c r="A9" s="71" t="str">
        <x:v>PL-008</x:v>
      </x:c>
      <x:c r="B9" s="71" t="str">
        <x:v>Fundação</x:v>
      </x:c>
      <x:c r="C9" s="71" t="str">
        <x:v>Criar design system base</x:v>
      </x:c>
      <x:c r="D9" s="71" t="str">
        <x:v>Tokens, tipografia, componentes básicos, estados loading/erro/vazio e responsividade.</x:v>
      </x:c>
      <x:c r="E9" s="71" t="str">
        <x:v>Frontend</x:v>
      </x:c>
      <x:c r="F9" s="71" t="str">
        <x:v>Fundação</x:v>
      </x:c>
      <x:c r="G9" s="71" t="str">
        <x:v>S0</x:v>
      </x:c>
      <x:c r="H9" s="71" t="str">
        <x:v>Alta</x:v>
      </x:c>
      <x:c r="I9" s="71" t="str">
        <x:v>Backlog</x:v>
      </x:c>
      <x:c r="J9" s="71" t="str">
        <x:v>Pedro / Miqueias</x:v>
      </x:c>
      <x:c r="K9" s="71" t="str">
        <x:v>PL-001</x:v>
      </x:c>
      <x:c r="L9" s="92" t="n">
        <x:v>5</x:v>
      </x:c>
      <x:c r="M9" s="71" t="str">
        <x:v>Não</x:v>
      </x:c>
      <x:c r="N9" s="71" t="str">
        <x:v>Desktop-first, responsivo e PWA.</x:v>
      </x:c>
      <x:c r="O9" s="69"/>
      <x:c r="P9" s="69"/>
      <x:c r="Q9" s="69" t="str">
        <x:v>V1 — lançamento</x:v>
      </x:c>
      <x:c r="R9" s="69"/>
      <x:c r="S9" s="69"/>
      <x:c r="T9" s="69"/>
      <x:c r="U9" s="69"/>
      <x:c r="V9" s="69"/>
      <x:c r="W9" s="69"/>
      <x:c r="X9" s="69"/>
      <x:c r="Y9" s="69"/>
      <x:c r="Z9" s="69"/>
    </x:row>
    <x:row r="10">
      <x:c r="A10" s="199" t="str">
        <x:v>PL-009</x:v>
      </x:c>
      <x:c r="B10" s="199" t="str">
        <x:v>Fundação</x:v>
      </x:c>
      <x:c r="C10" s="199" t="str">
        <x:v>Configurar PWA</x:v>
      </x:c>
      <x:c r="D10" s="199" t="str">
        <x:v>Manifest, instalação, ícones, service worker e comportamento offline mínimo.</x:v>
      </x:c>
      <x:c r="E10" s="199" t="str">
        <x:v>Frontend</x:v>
      </x:c>
      <x:c r="F10" s="199" t="str">
        <x:v>Fundação</x:v>
      </x:c>
      <x:c r="G10" s="199" t="str">
        <x:v>S0</x:v>
      </x:c>
      <x:c r="H10" s="199" t="str">
        <x:v>Alta</x:v>
      </x:c>
      <x:c r="I10" s="199" t="str">
        <x:v>Backlog</x:v>
      </x:c>
      <x:c r="J10" s="199" t="str">
        <x:v>Pedro / Miqueias</x:v>
      </x:c>
      <x:c r="K10" s="199" t="str">
        <x:v>PL-008</x:v>
      </x:c>
      <x:c r="L10" s="200" t="n">
        <x:v>3</x:v>
      </x:c>
      <x:c r="M10" s="199" t="str">
        <x:v>Não</x:v>
      </x:c>
      <x:c r="N10" s="199" t="str"/>
      <x:c r="O10" s="69"/>
      <x:c r="P10" s="69"/>
      <x:c r="Q10" s="69" t="str">
        <x:v>V1 — lançamento</x:v>
      </x:c>
      <x:c r="R10" s="69"/>
      <x:c r="S10" s="69"/>
      <x:c r="T10" s="69"/>
      <x:c r="U10" s="69"/>
      <x:c r="V10" s="69"/>
      <x:c r="W10" s="69"/>
      <x:c r="X10" s="69"/>
      <x:c r="Y10" s="69"/>
      <x:c r="Z10" s="69"/>
    </x:row>
    <x:row r="11">
      <x:c r="A11" s="71" t="str">
        <x:v>PL-010</x:v>
      </x:c>
      <x:c r="B11" s="71" t="str">
        <x:v>Fundação</x:v>
      </x:c>
      <x:c r="C11" s="71" t="str">
        <x:v>Modelo inicial de dados</x:v>
      </x:c>
      <x:c r="D11" s="71" t="str">
        <x:v>Migrations iniciais para usuários, perfil, termos, catálogo e configurações.</x:v>
      </x:c>
      <x:c r="E11" s="71" t="str">
        <x:v>Banco</x:v>
      </x:c>
      <x:c r="F11" s="71" t="str">
        <x:v>Fundação</x:v>
      </x:c>
      <x:c r="G11" s="71" t="str">
        <x:v>S0</x:v>
      </x:c>
      <x:c r="H11" s="71" t="str">
        <x:v>Crítica</x:v>
      </x:c>
      <x:c r="I11" s="71" t="str">
        <x:v>Backlog</x:v>
      </x:c>
      <x:c r="J11" s="71" t="str">
        <x:v>Gabriel / Samuel</x:v>
      </x:c>
      <x:c r="K11" s="71" t="str">
        <x:v>PL-004, PL-006</x:v>
      </x:c>
      <x:c r="L11" s="92" t="n">
        <x:v>8</x:v>
      </x:c>
      <x:c r="M11" s="71" t="str">
        <x:v>Sim</x:v>
      </x:c>
      <x:c r="N11" s="71" t="str">
        <x:v>Migrations versionadas.</x:v>
      </x:c>
      <x:c r="O11" s="69"/>
      <x:c r="P11" s="69"/>
      <x:c r="Q11" s="69" t="str">
        <x:v>V1 — lançamento</x:v>
      </x:c>
      <x:c r="R11" s="69"/>
      <x:c r="S11" s="69"/>
      <x:c r="T11" s="69"/>
      <x:c r="U11" s="69"/>
      <x:c r="V11" s="69"/>
      <x:c r="W11" s="69"/>
      <x:c r="X11" s="69"/>
      <x:c r="Y11" s="69"/>
      <x:c r="Z11" s="69"/>
    </x:row>
    <x:row r="12">
      <x:c r="A12" s="199" t="str">
        <x:v>PL-011</x:v>
      </x:c>
      <x:c r="B12" s="199" t="str">
        <x:v>Fundação</x:v>
      </x:c>
      <x:c r="C12" s="199" t="str">
        <x:v>Autorização e isolamento de dados iniciais</x:v>
      </x:c>
      <x:c r="D12" s="199" t="str">
        <x:v>Negar por padrão; todo dado do produto passa pela API; escopo por usuário/grupo e testes negativos de acesso cruzado.</x:v>
      </x:c>
      <x:c r="E12" s="199" t="str">
        <x:v>Segurança</x:v>
      </x:c>
      <x:c r="F12" s="199" t="str">
        <x:v>Fundação</x:v>
      </x:c>
      <x:c r="G12" s="199" t="str">
        <x:v>S0</x:v>
      </x:c>
      <x:c r="H12" s="199" t="str">
        <x:v>Crítica</x:v>
      </x:c>
      <x:c r="I12" s="199" t="str">
        <x:v>Backlog</x:v>
      </x:c>
      <x:c r="J12" s="199" t="str">
        <x:v>Gabriel / Samuel</x:v>
      </x:c>
      <x:c r="K12" s="199" t="str">
        <x:v>PL-010</x:v>
      </x:c>
      <x:c r="L12" s="200" t="n">
        <x:v>8</x:v>
      </x:c>
      <x:c r="M12" s="199" t="str">
        <x:v>Sim</x:v>
      </x:c>
      <x:c r="N12" s="199" t="str">
        <x:v>PostgreSQL Supabase Pro não é acessado diretamente pelo frontend; todas as operações do produto passam pela API.</x:v>
      </x:c>
      <x:c r="O12" s="69"/>
      <x:c r="P12" s="69"/>
      <x:c r="Q12" s="69" t="str">
        <x:v>V1 — lançamento</x:v>
      </x:c>
      <x:c r="R12" s="69"/>
      <x:c r="S12" s="69"/>
      <x:c r="T12" s="69"/>
      <x:c r="U12" s="69"/>
      <x:c r="V12" s="69"/>
      <x:c r="W12" s="69"/>
      <x:c r="X12" s="69"/>
      <x:c r="Y12" s="69"/>
      <x:c r="Z12" s="69"/>
    </x:row>
    <x:row r="13">
      <x:c r="A13" s="71" t="str">
        <x:v>PL-012</x:v>
      </x:c>
      <x:c r="B13" s="71" t="str">
        <x:v>Fundação</x:v>
      </x:c>
      <x:c r="C13" s="71" t="str">
        <x:v>Logs, auditoria e monitoramento base</x:v>
      </x:c>
      <x:c r="D13" s="71" t="str">
        <x:v>Logs estruturados sem dados sensíveis; captura de erros e auditoria inicial.</x:v>
      </x:c>
      <x:c r="E13" s="71" t="str">
        <x:v>Segurança</x:v>
      </x:c>
      <x:c r="F13" s="71" t="str">
        <x:v>Fundação</x:v>
      </x:c>
      <x:c r="G13" s="71" t="str">
        <x:v>S0</x:v>
      </x:c>
      <x:c r="H13" s="71" t="str">
        <x:v>Alta</x:v>
      </x:c>
      <x:c r="I13" s="71" t="str">
        <x:v>Backlog</x:v>
      </x:c>
      <x:c r="J13" s="71" t="str">
        <x:v>Gabriel / Samuel</x:v>
      </x:c>
      <x:c r="K13" s="71" t="str">
        <x:v>PL-005</x:v>
      </x:c>
      <x:c r="L13" s="92" t="n">
        <x:v>5</x:v>
      </x:c>
      <x:c r="M13" s="71" t="str">
        <x:v>Sim</x:v>
      </x:c>
      <x:c r="N13" s="71" t="str"/>
      <x:c r="O13" s="69"/>
      <x:c r="P13" s="69"/>
      <x:c r="Q13" s="69" t="str">
        <x:v>V1 — lançamento</x:v>
      </x:c>
      <x:c r="R13" s="69"/>
      <x:c r="S13" s="69"/>
      <x:c r="T13" s="69"/>
      <x:c r="U13" s="69"/>
      <x:c r="V13" s="69"/>
      <x:c r="W13" s="69"/>
      <x:c r="X13" s="69"/>
      <x:c r="Y13" s="69"/>
      <x:c r="Z13" s="69"/>
    </x:row>
    <x:row r="14">
      <x:c r="A14" s="199" t="str">
        <x:v>PL-013</x:v>
      </x:c>
      <x:c r="B14" s="199" t="str">
        <x:v>LGPD/Jurídico</x:v>
      </x:c>
      <x:c r="C14" s="199" t="str">
        <x:v>Mapa de dados pessoais</x:v>
      </x:c>
      <x:c r="D14" s="199" t="str">
        <x:v>Inventariar dados coletados, finalidade, base legal, retenção, fornecedor e acesso.</x:v>
      </x:c>
      <x:c r="E14" s="199" t="str">
        <x:v>LGPD/Jurídico</x:v>
      </x:c>
      <x:c r="F14" s="199" t="str">
        <x:v>Transversal</x:v>
      </x:c>
      <x:c r="G14" s="199" t="str">
        <x:v>S0</x:v>
      </x:c>
      <x:c r="H14" s="199" t="str">
        <x:v>Crítica</x:v>
      </x:c>
      <x:c r="I14" s="199" t="str">
        <x:v>Backlog</x:v>
      </x:c>
      <x:c r="J14" s="199" t="str">
        <x:v>Jurídico / DPO</x:v>
      </x:c>
      <x:c r="K14" s="199" t="str">
        <x:v>-</x:v>
      </x:c>
      <x:c r="L14" s="200" t="n">
        <x:v>5</x:v>
      </x:c>
      <x:c r="M14" s="199" t="str">
        <x:v>Sim</x:v>
      </x:c>
      <x:c r="N14" s="199" t="str">
        <x:v>Validar antes da beta.</x:v>
      </x:c>
      <x:c r="O14" s="69"/>
      <x:c r="P14" s="69"/>
      <x:c r="Q14" s="69" t="str">
        <x:v>V1 — lançamento</x:v>
      </x:c>
      <x:c r="R14" s="69"/>
      <x:c r="S14" s="69"/>
      <x:c r="T14" s="69"/>
      <x:c r="U14" s="69"/>
      <x:c r="V14" s="69"/>
      <x:c r="W14" s="69"/>
      <x:c r="X14" s="69"/>
      <x:c r="Y14" s="69"/>
      <x:c r="Z14" s="69"/>
    </x:row>
    <x:row r="15">
      <x:c r="A15" s="71" t="str">
        <x:v>PL-014</x:v>
      </x:c>
      <x:c r="B15" s="71" t="str">
        <x:v>LGPD/Jurídico</x:v>
      </x:c>
      <x:c r="C15" s="71" t="str">
        <x:v>Versão de termos e política</x:v>
      </x:c>
      <x:c r="D15" s="71" t="str">
        <x:v>Estrutura técnica para registrar versão, data, aceite e evidência de termos/política.</x:v>
      </x:c>
      <x:c r="E15" s="71" t="str">
        <x:v>Banco</x:v>
      </x:c>
      <x:c r="F15" s="71" t="str">
        <x:v>Transversal</x:v>
      </x:c>
      <x:c r="G15" s="71" t="str">
        <x:v>S0</x:v>
      </x:c>
      <x:c r="H15" s="71" t="str">
        <x:v>Crítica</x:v>
      </x:c>
      <x:c r="I15" s="71" t="str">
        <x:v>Backlog</x:v>
      </x:c>
      <x:c r="J15" s="71" t="str">
        <x:v>Gabriel / Samuel</x:v>
      </x:c>
      <x:c r="K15" s="71" t="str">
        <x:v>PL-010, PL-013</x:v>
      </x:c>
      <x:c r="L15" s="92" t="n">
        <x:v>5</x:v>
      </x:c>
      <x:c r="M15" s="71" t="str">
        <x:v>Sim</x:v>
      </x:c>
      <x:c r="N15" s="71" t="str">
        <x:v>Texto final depende do jurídico.</x:v>
      </x:c>
      <x:c r="O15" s="69"/>
      <x:c r="P15" s="69"/>
      <x:c r="Q15" s="69" t="str">
        <x:v>V1 — lançamento</x:v>
      </x:c>
      <x:c r="R15" s="69"/>
      <x:c r="S15" s="69"/>
      <x:c r="T15" s="69"/>
      <x:c r="U15" s="69"/>
      <x:c r="V15" s="69"/>
      <x:c r="W15" s="69"/>
      <x:c r="X15" s="69"/>
      <x:c r="Y15" s="69"/>
      <x:c r="Z15" s="69"/>
    </x:row>
    <x:row r="16">
      <x:c r="A16" s="199" t="str">
        <x:v>PL-015</x:v>
      </x:c>
      <x:c r="B16" s="199" t="str">
        <x:v>Curadoria</x:v>
      </x:c>
      <x:c r="C16" s="199" t="str">
        <x:v>Modelo de planilha do catálogo</x:v>
      </x:c>
      <x:c r="D16" s="199" t="str">
        <x:v>Modelo CSV/Excel para prova, disciplinas, tópicos e mudanças com IDs imutáveis.</x:v>
      </x:c>
      <x:c r="E16" s="199" t="str">
        <x:v>Curadoria</x:v>
      </x:c>
      <x:c r="F16" s="199" t="str">
        <x:v>Fundação</x:v>
      </x:c>
      <x:c r="G16" s="199" t="str">
        <x:v>S0</x:v>
      </x:c>
      <x:c r="H16" s="199" t="str">
        <x:v>Alta</x:v>
      </x:c>
      <x:c r="I16" s="199" t="str">
        <x:v>Backlog</x:v>
      </x:c>
      <x:c r="J16" s="199" t="str">
        <x:v>Curadoria</x:v>
      </x:c>
      <x:c r="K16" s="199" t="str">
        <x:v>-</x:v>
      </x:c>
      <x:c r="L16" s="200" t="n">
        <x:v>3</x:v>
      </x:c>
      <x:c r="M16" s="199" t="str">
        <x:v>Não</x:v>
      </x:c>
      <x:c r="N16" s="199" t="str"/>
      <x:c r="O16" s="69"/>
      <x:c r="P16" s="69"/>
      <x:c r="Q16" s="69" t="str">
        <x:v>V1 — lançamento</x:v>
      </x:c>
      <x:c r="R16" s="69"/>
      <x:c r="S16" s="69"/>
      <x:c r="T16" s="69"/>
      <x:c r="U16" s="69"/>
      <x:c r="V16" s="69"/>
      <x:c r="W16" s="69"/>
      <x:c r="X16" s="69"/>
      <x:c r="Y16" s="69"/>
      <x:c r="Z16" s="69"/>
    </x:row>
    <x:row r="17">
      <x:c r="A17" s="71" t="str">
        <x:v>PL-016</x:v>
      </x:c>
      <x:c r="B17" s="71" t="str">
        <x:v>Curadoria</x:v>
      </x:c>
      <x:c r="C17" s="71" t="str">
        <x:v>Script de validação do catálogo</x:v>
      </x:c>
      <x:c r="D17" s="71" t="str">
        <x:v>Valida IDs, campos, pesos, datas, duplicidades e emite relatório de erros.</x:v>
      </x:c>
      <x:c r="E17" s="71" t="str">
        <x:v>Backend</x:v>
      </x:c>
      <x:c r="F17" s="71" t="str">
        <x:v>Fundação</x:v>
      </x:c>
      <x:c r="G17" s="71" t="str">
        <x:v>S0</x:v>
      </x:c>
      <x:c r="H17" s="71" t="str">
        <x:v>Alta</x:v>
      </x:c>
      <x:c r="I17" s="71" t="str">
        <x:v>Backlog</x:v>
      </x:c>
      <x:c r="J17" s="71" t="str">
        <x:v>Gabriel / Samuel</x:v>
      </x:c>
      <x:c r="K17" s="71" t="str">
        <x:v>PL-015, PL-010</x:v>
      </x:c>
      <x:c r="L17" s="92" t="n">
        <x:v>5</x:v>
      </x:c>
      <x:c r="M17" s="71" t="str">
        <x:v>Sim</x:v>
      </x:c>
      <x:c r="N17" s="71" t="str">
        <x:v>Carga auditável.</x:v>
      </x:c>
      <x:c r="O17" s="69"/>
      <x:c r="P17" s="69"/>
      <x:c r="Q17" s="69" t="str">
        <x:v>V1 — lançamento</x:v>
      </x:c>
      <x:c r="R17" s="69"/>
      <x:c r="S17" s="69"/>
      <x:c r="T17" s="69"/>
      <x:c r="U17" s="69"/>
      <x:c r="V17" s="69"/>
      <x:c r="W17" s="69"/>
      <x:c r="X17" s="69"/>
      <x:c r="Y17" s="69"/>
      <x:c r="Z17" s="69"/>
    </x:row>
    <x:row r="18">
      <x:c r="A18" s="199" t="str">
        <x:v>PL-017</x:v>
      </x:c>
      <x:c r="B18" s="199" t="str">
        <x:v>Usuários</x:v>
      </x:c>
      <x:c r="C18" s="199" t="str">
        <x:v>Cadastro com cinco campos e onboarding</x:v>
      </x:c>
      <x:c r="D18" s="199" t="str">
        <x:v>Frontend: nome, e-mail, senha, apelido e data de nascimento; confirmação obrigatória de e-mail antes da liberação; termos/política conforme faixa etária e consentimentos separados quando aplicáveis; onboarding escolhe prova. Integra Supabase Auth e API. Não pedir tag ou telefone.</x:v>
      </x:c>
      <x:c r="E18" s="199" t="str">
        <x:v>Frontend</x:v>
      </x:c>
      <x:c r="F18" s="199" t="str">
        <x:v>Fase A</x:v>
      </x:c>
      <x:c r="G18" s="199" t="str">
        <x:v>S1</x:v>
      </x:c>
      <x:c r="H18" s="199" t="str">
        <x:v>Crítica</x:v>
      </x:c>
      <x:c r="I18" s="199" t="str">
        <x:v>Backlog</x:v>
      </x:c>
      <x:c r="J18" s="199" t="str">
        <x:v>Pedro / Miqueias</x:v>
      </x:c>
      <x:c r="K18" s="199" t="str">
        <x:v>PL-007, PL-008, PL-014, PL-032</x:v>
      </x:c>
      <x:c r="L18" s="200" t="n">
        <x:v>8</x:v>
      </x:c>
      <x:c r="M18" s="199" t="str">
        <x:v>Sim</x:v>
      </x:c>
      <x:c r="N18" s="199" t="str"/>
      <x:c r="O18" s="69"/>
      <x:c r="P18" s="69"/>
      <x:c r="Q18" s="69" t="str">
        <x:v>V1 — lançamento</x:v>
      </x:c>
      <x:c r="R18" s="69"/>
      <x:c r="S18" s="69"/>
      <x:c r="T18" s="69"/>
      <x:c r="U18" s="69"/>
      <x:c r="V18" s="69"/>
      <x:c r="W18" s="69"/>
      <x:c r="X18" s="69"/>
      <x:c r="Y18" s="69"/>
      <x:c r="Z18" s="69"/>
    </x:row>
    <x:row r="19">
      <x:c r="A19" s="71" t="str">
        <x:v>PL-018</x:v>
      </x:c>
      <x:c r="B19" s="71" t="str">
        <x:v>Usuários</x:v>
      </x:c>
      <x:c r="C19" s="71" t="str">
        <x:v>Perfil privado e apelido público (sem tag)</x:v>
      </x:c>
      <x:c r="D19" s="71" t="str">
        <x:v>Backend: nome e data de nascimento privados; apelido público único e moderado; validações PT/EN; dados do próprio usuário por API; atualização controlada e registro de auditoria aplicável. Sem tag e sem telefone.</x:v>
      </x:c>
      <x:c r="E19" s="71" t="str">
        <x:v>Backend</x:v>
      </x:c>
      <x:c r="F19" s="71" t="str">
        <x:v>Fase A</x:v>
      </x:c>
      <x:c r="G19" s="71" t="str">
        <x:v>S1</x:v>
      </x:c>
      <x:c r="H19" s="71" t="str">
        <x:v>Alta</x:v>
      </x:c>
      <x:c r="I19" s="71" t="str">
        <x:v>Backlog</x:v>
      </x:c>
      <x:c r="J19" s="71" t="str">
        <x:v>Gabriel / Samuel</x:v>
      </x:c>
      <x:c r="K19" s="71" t="str">
        <x:v>PL-010, PL-011, PL-032</x:v>
      </x:c>
      <x:c r="L19" s="92" t="n">
        <x:v>5</x:v>
      </x:c>
      <x:c r="M19" s="71" t="str">
        <x:v>Sim</x:v>
      </x:c>
      <x:c r="N19" s="71" t="str">
        <x:v>Nome real não aparece em espaço público.</x:v>
      </x:c>
      <x:c r="O19" s="69"/>
      <x:c r="P19" s="69"/>
      <x:c r="Q19" s="69" t="str">
        <x:v>V1 — lançamento</x:v>
      </x:c>
      <x:c r="R19" s="69"/>
      <x:c r="S19" s="69"/>
      <x:c r="T19" s="69"/>
      <x:c r="U19" s="69"/>
      <x:c r="V19" s="69"/>
      <x:c r="W19" s="69"/>
      <x:c r="X19" s="69"/>
      <x:c r="Y19" s="69"/>
      <x:c r="Z19" s="69"/>
    </x:row>
    <x:row r="20">
      <x:c r="A20" s="199" t="str">
        <x:v>PL-019</x:v>
      </x:c>
      <x:c r="B20" s="199" t="str">
        <x:v>Usuários</x:v>
      </x:c>
      <x:c r="C20" s="199" t="str">
        <x:v>Tela de perfil e privacidade</x:v>
      </x:c>
      <x:c r="D20" s="199" t="str">
        <x:v>Frontend: tela de perfil para nome privado, apelido público, avatar opcional e configurações de privacidade. Não incluir tag/telefone; considerar proteções de menores e mensagens claras de erro.</x:v>
      </x:c>
      <x:c r="E20" s="199" t="str">
        <x:v>Frontend</x:v>
      </x:c>
      <x:c r="F20" s="199" t="str">
        <x:v>Fase A</x:v>
      </x:c>
      <x:c r="G20" s="199" t="str">
        <x:v>S1</x:v>
      </x:c>
      <x:c r="H20" s="199" t="str">
        <x:v>Alta</x:v>
      </x:c>
      <x:c r="I20" s="199" t="str">
        <x:v>Backlog</x:v>
      </x:c>
      <x:c r="J20" s="199" t="str">
        <x:v>Pedro / Miqueias</x:v>
      </x:c>
      <x:c r="K20" s="199" t="str">
        <x:v>PL-018</x:v>
      </x:c>
      <x:c r="L20" s="200" t="n">
        <x:v>5</x:v>
      </x:c>
      <x:c r="M20" s="199" t="str">
        <x:v>Sim</x:v>
      </x:c>
      <x:c r="N20" s="199" t="str"/>
      <x:c r="O20" s="69"/>
      <x:c r="P20" s="69"/>
      <x:c r="Q20" s="69" t="str">
        <x:v>V1 — lançamento</x:v>
      </x:c>
      <x:c r="R20" s="69"/>
      <x:c r="S20" s="69"/>
      <x:c r="T20" s="69"/>
      <x:c r="U20" s="69"/>
      <x:c r="V20" s="69"/>
      <x:c r="W20" s="69"/>
      <x:c r="X20" s="69"/>
      <x:c r="Y20" s="69"/>
      <x:c r="Z20" s="69"/>
    </x:row>
    <x:row r="21">
      <x:c r="A21" s="71" t="str">
        <x:v>PL-020</x:v>
      </x:c>
      <x:c r="B21" s="71" t="str">
        <x:v>Sessões</x:v>
      </x:c>
      <x:c r="C21" s="71" t="str">
        <x:v>Criar sessão no servidor</x:v>
      </x:c>
      <x:c r="D21" s="71" t="str">
        <x:v>Horário oficial vem do servidor; disciplina, tópico quando permitido, modo e origem.</x:v>
      </x:c>
      <x:c r="E21" s="71" t="str">
        <x:v>Backend</x:v>
      </x:c>
      <x:c r="F21" s="71" t="str">
        <x:v>Fase A</x:v>
      </x:c>
      <x:c r="G21" s="71" t="str">
        <x:v>S1</x:v>
      </x:c>
      <x:c r="H21" s="71" t="str">
        <x:v>Crítica</x:v>
      </x:c>
      <x:c r="I21" s="71" t="str">
        <x:v>Backlog</x:v>
      </x:c>
      <x:c r="J21" s="71" t="str">
        <x:v>Gabriel / Samuel</x:v>
      </x:c>
      <x:c r="K21" s="71" t="str">
        <x:v>PL-005, PL-010</x:v>
      </x:c>
      <x:c r="L21" s="92" t="n">
        <x:v>8</x:v>
      </x:c>
      <x:c r="M21" s="71" t="str">
        <x:v>Sim</x:v>
      </x:c>
      <x:c r="N21" s="71" t="str"/>
      <x:c r="O21" s="69"/>
      <x:c r="P21" s="69"/>
      <x:c r="Q21" s="69" t="str">
        <x:v>V1 — lançamento</x:v>
      </x:c>
      <x:c r="R21" s="69"/>
      <x:c r="S21" s="69"/>
      <x:c r="T21" s="69"/>
      <x:c r="U21" s="69"/>
      <x:c r="V21" s="69"/>
      <x:c r="W21" s="69"/>
      <x:c r="X21" s="69"/>
      <x:c r="Y21" s="69"/>
      <x:c r="Z21" s="69"/>
    </x:row>
    <x:row r="22">
      <x:c r="A22" s="199" t="str">
        <x:v>PL-021</x:v>
      </x:c>
      <x:c r="B22" s="199" t="str">
        <x:v>Sessões</x:v>
      </x:c>
      <x:c r="C22" s="199" t="str">
        <x:v>Encerrar e confirmar sessão</x:v>
      </x:c>
      <x:c r="D22" s="199" t="str">
        <x:v>Janela de confirmação, tolerância configurável, extensão +30 min e estado anômalo.</x:v>
      </x:c>
      <x:c r="E22" s="199" t="str">
        <x:v>Backend</x:v>
      </x:c>
      <x:c r="F22" s="199" t="str">
        <x:v>Fase A</x:v>
      </x:c>
      <x:c r="G22" s="199" t="str">
        <x:v>S1</x:v>
      </x:c>
      <x:c r="H22" s="199" t="str">
        <x:v>Crítica</x:v>
      </x:c>
      <x:c r="I22" s="199" t="str">
        <x:v>Backlog</x:v>
      </x:c>
      <x:c r="J22" s="199" t="str">
        <x:v>Gabriel / Samuel</x:v>
      </x:c>
      <x:c r="K22" s="199" t="str">
        <x:v>PL-020</x:v>
      </x:c>
      <x:c r="L22" s="200" t="n">
        <x:v>8</x:v>
      </x:c>
      <x:c r="M22" s="199" t="str">
        <x:v>Sim</x:v>
      </x:c>
      <x:c r="N22" s="199" t="str"/>
      <x:c r="O22" s="69"/>
      <x:c r="P22" s="69"/>
      <x:c r="Q22" s="69" t="str">
        <x:v>V1 — lançamento</x:v>
      </x:c>
      <x:c r="R22" s="69"/>
      <x:c r="S22" s="69"/>
      <x:c r="T22" s="69"/>
      <x:c r="U22" s="69"/>
      <x:c r="V22" s="69"/>
      <x:c r="W22" s="69"/>
      <x:c r="X22" s="69"/>
      <x:c r="Y22" s="69"/>
      <x:c r="Z22" s="69"/>
    </x:row>
    <x:row r="23">
      <x:c r="A23" s="71" t="str">
        <x:v>PL-022</x:v>
      </x:c>
      <x:c r="B23" s="71" t="str">
        <x:v>Sessões</x:v>
      </x:c>
      <x:c r="C23" s="71" t="str">
        <x:v>Timer modo bloco</x:v>
      </x:c>
      <x:c r="D23" s="71" t="str">
        <x:v>Tempos predefinidos e personalizado; UI atualiza localmente com tempo oficial do servidor.</x:v>
      </x:c>
      <x:c r="E23" s="71" t="str">
        <x:v>Frontend</x:v>
      </x:c>
      <x:c r="F23" s="71" t="str">
        <x:v>Fase A</x:v>
      </x:c>
      <x:c r="G23" s="71" t="str">
        <x:v>S1</x:v>
      </x:c>
      <x:c r="H23" s="71" t="str">
        <x:v>Alta</x:v>
      </x:c>
      <x:c r="I23" s="71" t="str">
        <x:v>Backlog</x:v>
      </x:c>
      <x:c r="J23" s="71" t="str">
        <x:v>Pedro / Miqueias</x:v>
      </x:c>
      <x:c r="K23" s="71" t="str">
        <x:v>PL-020</x:v>
      </x:c>
      <x:c r="L23" s="92" t="n">
        <x:v>5</x:v>
      </x:c>
      <x:c r="M23" s="71" t="str">
        <x:v>Não</x:v>
      </x:c>
      <x:c r="N23" s="71" t="str"/>
      <x:c r="O23" s="69"/>
      <x:c r="P23" s="69"/>
      <x:c r="Q23" s="69" t="str">
        <x:v>V1 — lançamento</x:v>
      </x:c>
      <x:c r="R23" s="69"/>
      <x:c r="S23" s="69"/>
      <x:c r="T23" s="69"/>
      <x:c r="U23" s="69"/>
      <x:c r="V23" s="69"/>
      <x:c r="W23" s="69"/>
      <x:c r="X23" s="69"/>
      <x:c r="Y23" s="69"/>
      <x:c r="Z23" s="69"/>
    </x:row>
    <x:row r="24">
      <x:c r="A24" s="199" t="str">
        <x:v>PL-023</x:v>
      </x:c>
      <x:c r="B24" s="199" t="str">
        <x:v>Sessões</x:v>
      </x:c>
      <x:c r="C24" s="199" t="str">
        <x:v>Timer modo livre</x:v>
      </x:c>
      <x:c r="D24" s="199" t="str">
        <x:v>Cronômetro aberto; confirmação periódica e encerramento seguro.</x:v>
      </x:c>
      <x:c r="E24" s="199" t="str">
        <x:v>Frontend</x:v>
      </x:c>
      <x:c r="F24" s="199" t="str">
        <x:v>Fase A</x:v>
      </x:c>
      <x:c r="G24" s="199" t="str">
        <x:v>S1</x:v>
      </x:c>
      <x:c r="H24" s="199" t="str">
        <x:v>Alta</x:v>
      </x:c>
      <x:c r="I24" s="199" t="str">
        <x:v>Backlog</x:v>
      </x:c>
      <x:c r="J24" s="199" t="str">
        <x:v>Pedro / Miqueias</x:v>
      </x:c>
      <x:c r="K24" s="199" t="str">
        <x:v>PL-020, PL-021</x:v>
      </x:c>
      <x:c r="L24" s="200" t="n">
        <x:v>5</x:v>
      </x:c>
      <x:c r="M24" s="199" t="str">
        <x:v>Não</x:v>
      </x:c>
      <x:c r="N24" s="199" t="str"/>
      <x:c r="O24" s="69"/>
      <x:c r="P24" s="69"/>
      <x:c r="Q24" s="69" t="str">
        <x:v>V1 — lançamento</x:v>
      </x:c>
      <x:c r="R24" s="69"/>
      <x:c r="S24" s="69"/>
      <x:c r="T24" s="69"/>
      <x:c r="U24" s="69"/>
      <x:c r="V24" s="69"/>
      <x:c r="W24" s="69"/>
      <x:c r="X24" s="69"/>
      <x:c r="Y24" s="69"/>
      <x:c r="Z24" s="69"/>
    </x:row>
    <x:row r="25">
      <x:c r="A25" s="71" t="str">
        <x:v>PL-024</x:v>
      </x:c>
      <x:c r="B25" s="71" t="str">
        <x:v>Sessões</x:v>
      </x:c>
      <x:c r="C25" s="71" t="str">
        <x:v>Timer Pomodoro</x:v>
      </x:c>
      <x:c r="D25" s="71" t="str">
        <x:v>Ciclos 25/5 e 50/10, confirmação ao iniciar pausa.</x:v>
      </x:c>
      <x:c r="E25" s="71" t="str">
        <x:v>Frontend</x:v>
      </x:c>
      <x:c r="F25" s="71" t="str">
        <x:v>Fase A</x:v>
      </x:c>
      <x:c r="G25" s="71" t="str">
        <x:v>S1</x:v>
      </x:c>
      <x:c r="H25" s="71" t="str">
        <x:v>Média</x:v>
      </x:c>
      <x:c r="I25" s="71" t="str">
        <x:v>Backlog</x:v>
      </x:c>
      <x:c r="J25" s="71" t="str">
        <x:v>Pedro / Miqueias</x:v>
      </x:c>
      <x:c r="K25" s="71" t="str">
        <x:v>PL-020, PL-021</x:v>
      </x:c>
      <x:c r="L25" s="92" t="n">
        <x:v>5</x:v>
      </x:c>
      <x:c r="M25" s="71" t="str">
        <x:v>Não</x:v>
      </x:c>
      <x:c r="N25" s="71" t="str">
        <x:v>Pode descer de escopo se necessário.</x:v>
      </x:c>
      <x:c r="O25" s="69"/>
      <x:c r="P25" s="69"/>
      <x:c r="Q25" s="69" t="str">
        <x:v>V1 — lançamento</x:v>
      </x:c>
      <x:c r="R25" s="69"/>
      <x:c r="S25" s="69"/>
      <x:c r="T25" s="69"/>
      <x:c r="U25" s="69"/>
      <x:c r="V25" s="69"/>
      <x:c r="W25" s="69"/>
      <x:c r="X25" s="69"/>
      <x:c r="Y25" s="69"/>
      <x:c r="Z25" s="69"/>
    </x:row>
    <x:row r="26">
      <x:c r="A26" s="199" t="str">
        <x:v>PL-025</x:v>
      </x:c>
      <x:c r="B26" s="199" t="str">
        <x:v>Sessões</x:v>
      </x:c>
      <x:c r="C26" s="199" t="str">
        <x:v>Modo foco, barra fixa e sobreposição</x:v>
      </x:c>
      <x:c r="D26" s="199" t="str">
        <x:v>Experiência desktop; fallback para navegadores sem sobreposição real.</x:v>
      </x:c>
      <x:c r="E26" s="199" t="str">
        <x:v>Frontend</x:v>
      </x:c>
      <x:c r="F26" s="199" t="str">
        <x:v>Fase A</x:v>
      </x:c>
      <x:c r="G26" s="199" t="str">
        <x:v>S1</x:v>
      </x:c>
      <x:c r="H26" s="199" t="str">
        <x:v>Alta</x:v>
      </x:c>
      <x:c r="I26" s="199" t="str">
        <x:v>Backlog</x:v>
      </x:c>
      <x:c r="J26" s="199" t="str">
        <x:v>Pedro / Miqueias</x:v>
      </x:c>
      <x:c r="K26" s="199" t="str">
        <x:v>PL-022, PL-023</x:v>
      </x:c>
      <x:c r="L26" s="200" t="n">
        <x:v>8</x:v>
      </x:c>
      <x:c r="M26" s="199" t="str">
        <x:v>Não</x:v>
      </x:c>
      <x:c r="N26" s="199" t="str"/>
      <x:c r="O26" s="69"/>
      <x:c r="P26" s="69"/>
      <x:c r="Q26" s="69" t="str">
        <x:v>V1 — lançamento</x:v>
      </x:c>
      <x:c r="R26" s="69"/>
      <x:c r="S26" s="69"/>
      <x:c r="T26" s="69"/>
      <x:c r="U26" s="69"/>
      <x:c r="V26" s="69"/>
      <x:c r="W26" s="69"/>
      <x:c r="X26" s="69"/>
      <x:c r="Y26" s="69"/>
      <x:c r="Z26" s="69"/>
    </x:row>
    <x:row r="27">
      <x:c r="A27" s="71" t="str">
        <x:v>PL-026</x:v>
      </x:c>
      <x:c r="B27" s="71" t="str">
        <x:v>Sessões</x:v>
      </x:c>
      <x:c r="C27" s="71" t="str">
        <x:v>Registro manual</x:v>
      </x:c>
      <x:c r="D27" s="71" t="str">
        <x:v>Sessão manual entra em histórico/revisões, nunca em ranking/meta do grupo.</x:v>
      </x:c>
      <x:c r="E27" s="71" t="str">
        <x:v>Backend</x:v>
      </x:c>
      <x:c r="F27" s="71" t="str">
        <x:v>Fase A</x:v>
      </x:c>
      <x:c r="G27" s="71" t="str">
        <x:v>S1</x:v>
      </x:c>
      <x:c r="H27" s="71" t="str">
        <x:v>Alta</x:v>
      </x:c>
      <x:c r="I27" s="71" t="str">
        <x:v>Backlog</x:v>
      </x:c>
      <x:c r="J27" s="71" t="str">
        <x:v>Gabriel / Samuel</x:v>
      </x:c>
      <x:c r="K27" s="71" t="str">
        <x:v>PL-020</x:v>
      </x:c>
      <x:c r="L27" s="92" t="n">
        <x:v>3</x:v>
      </x:c>
      <x:c r="M27" s="71" t="str">
        <x:v>Sim</x:v>
      </x:c>
      <x:c r="N27" s="71" t="str"/>
      <x:c r="O27" s="69"/>
      <x:c r="P27" s="69"/>
      <x:c r="Q27" s="69" t="str">
        <x:v>V1 — lançamento</x:v>
      </x:c>
      <x:c r="R27" s="69"/>
      <x:c r="S27" s="69"/>
      <x:c r="T27" s="69"/>
      <x:c r="U27" s="69"/>
      <x:c r="V27" s="69"/>
      <x:c r="W27" s="69"/>
      <x:c r="X27" s="69"/>
      <x:c r="Y27" s="69"/>
      <x:c r="Z27" s="69"/>
    </x:row>
    <x:row r="28">
      <x:c r="A28" s="199" t="str">
        <x:v>PL-027</x:v>
      </x:c>
      <x:c r="B28" s="199" t="str">
        <x:v>Sessões</x:v>
      </x:c>
      <x:c r="C28" s="199" t="str">
        <x:v>Tela Hoje básica</x:v>
      </x:c>
      <x:c r="D28" s="199" t="str">
        <x:v>Sessão atual, meta diária, próximas revisões/avisos e atalhos.</x:v>
      </x:c>
      <x:c r="E28" s="199" t="str">
        <x:v>Frontend</x:v>
      </x:c>
      <x:c r="F28" s="199" t="str">
        <x:v>Fase A</x:v>
      </x:c>
      <x:c r="G28" s="199" t="str">
        <x:v>S1</x:v>
      </x:c>
      <x:c r="H28" s="199" t="str">
        <x:v>Alta</x:v>
      </x:c>
      <x:c r="I28" s="199" t="str">
        <x:v>Backlog</x:v>
      </x:c>
      <x:c r="J28" s="199" t="str">
        <x:v>Pedro / Miqueias</x:v>
      </x:c>
      <x:c r="K28" s="199" t="str">
        <x:v>PL-022, PL-017</x:v>
      </x:c>
      <x:c r="L28" s="200" t="n">
        <x:v>5</x:v>
      </x:c>
      <x:c r="M28" s="199" t="str">
        <x:v>Não</x:v>
      </x:c>
      <x:c r="N28" s="199" t="str"/>
      <x:c r="O28" s="69"/>
      <x:c r="P28" s="69"/>
      <x:c r="Q28" s="69" t="str">
        <x:v>V1 — lançamento</x:v>
      </x:c>
      <x:c r="R28" s="69"/>
      <x:c r="S28" s="69"/>
      <x:c r="T28" s="69"/>
      <x:c r="U28" s="69"/>
      <x:c r="V28" s="69"/>
      <x:c r="W28" s="69"/>
      <x:c r="X28" s="69"/>
      <x:c r="Y28" s="69"/>
      <x:c r="Z28" s="69"/>
    </x:row>
    <x:row r="29">
      <x:c r="A29" s="71" t="str">
        <x:v>PL-028</x:v>
      </x:c>
      <x:c r="B29" s="71" t="str">
        <x:v>Social</x:v>
      </x:c>
      <x:c r="C29" s="71" t="str">
        <x:v>Criar grupo e convite por link</x:v>
      </x:c>
      <x:c r="D29" s="71" t="str">
        <x:v>Grupo privado, ingresso por convite, papéis mínimos e histórico preservado.</x:v>
      </x:c>
      <x:c r="E29" s="71" t="str">
        <x:v>Backend</x:v>
      </x:c>
      <x:c r="F29" s="71" t="str">
        <x:v>Fase A</x:v>
      </x:c>
      <x:c r="G29" s="71" t="str">
        <x:v>S1</x:v>
      </x:c>
      <x:c r="H29" s="71" t="str">
        <x:v>Alta</x:v>
      </x:c>
      <x:c r="I29" s="71" t="str">
        <x:v>Backlog</x:v>
      </x:c>
      <x:c r="J29" s="71" t="str">
        <x:v>Gabriel / Samuel</x:v>
      </x:c>
      <x:c r="K29" s="71" t="str">
        <x:v>PL-018</x:v>
      </x:c>
      <x:c r="L29" s="92" t="n">
        <x:v>8</x:v>
      </x:c>
      <x:c r="M29" s="71" t="str">
        <x:v>Sim</x:v>
      </x:c>
      <x:c r="N29" s="71" t="str"/>
      <x:c r="O29" s="69"/>
      <x:c r="P29" s="69"/>
      <x:c r="Q29" s="69" t="str">
        <x:v>V1 — lançamento</x:v>
      </x:c>
      <x:c r="R29" s="69"/>
      <x:c r="S29" s="69"/>
      <x:c r="T29" s="69"/>
      <x:c r="U29" s="69"/>
      <x:c r="V29" s="69"/>
      <x:c r="W29" s="69"/>
      <x:c r="X29" s="69"/>
      <x:c r="Y29" s="69"/>
      <x:c r="Z29" s="69"/>
    </x:row>
    <x:row r="30">
      <x:c r="A30" s="199" t="str">
        <x:v>PL-029</x:v>
      </x:c>
      <x:c r="B30" s="199" t="str">
        <x:v>Social</x:v>
      </x:c>
      <x:c r="C30" s="199" t="str">
        <x:v>Telas de grupo e convite</x:v>
      </x:c>
      <x:c r="D30" s="199" t="str">
        <x:v>Criar/entrar em grupo, visualizar membros ativos e configurações permitidas.</x:v>
      </x:c>
      <x:c r="E30" s="199" t="str">
        <x:v>Frontend</x:v>
      </x:c>
      <x:c r="F30" s="199" t="str">
        <x:v>Fase A</x:v>
      </x:c>
      <x:c r="G30" s="199" t="str">
        <x:v>S1</x:v>
      </x:c>
      <x:c r="H30" s="199" t="str">
        <x:v>Alta</x:v>
      </x:c>
      <x:c r="I30" s="199" t="str">
        <x:v>Backlog</x:v>
      </x:c>
      <x:c r="J30" s="199" t="str">
        <x:v>Pedro / Miqueias</x:v>
      </x:c>
      <x:c r="K30" s="199" t="str">
        <x:v>PL-028</x:v>
      </x:c>
      <x:c r="L30" s="200" t="n">
        <x:v>5</x:v>
      </x:c>
      <x:c r="M30" s="199" t="str">
        <x:v>Sim</x:v>
      </x:c>
      <x:c r="N30" s="199" t="str"/>
      <x:c r="O30" s="69"/>
      <x:c r="P30" s="69"/>
      <x:c r="Q30" s="69" t="str">
        <x:v>V1 — lançamento</x:v>
      </x:c>
      <x:c r="R30" s="69"/>
      <x:c r="S30" s="69"/>
      <x:c r="T30" s="69"/>
      <x:c r="U30" s="69"/>
      <x:c r="V30" s="69"/>
      <x:c r="W30" s="69"/>
      <x:c r="X30" s="69"/>
      <x:c r="Y30" s="69"/>
      <x:c r="Z30" s="69"/>
    </x:row>
    <x:row r="31">
      <x:c r="A31" s="71" t="str">
        <x:v>PL-030</x:v>
      </x:c>
      <x:c r="B31" s="71" t="str">
        <x:v>Social</x:v>
      </x:c>
      <x:c r="C31" s="71" t="str">
        <x:v>Presence / mesa ao vivo</x:v>
      </x:c>
      <x:c r="D31" s="71" t="str">
        <x:v>Presença online via Supabase Realtime Presence e Broadcast em canais privados com RLS; ranking e tempo de estudo validados na API.</x:v>
      </x:c>
      <x:c r="E31" s="71" t="str">
        <x:v>Integração</x:v>
      </x:c>
      <x:c r="F31" s="71" t="str">
        <x:v>Fase A</x:v>
      </x:c>
      <x:c r="G31" s="71" t="str">
        <x:v>S1</x:v>
      </x:c>
      <x:c r="H31" s="71" t="str">
        <x:v>Alta</x:v>
      </x:c>
      <x:c r="I31" s="71" t="str">
        <x:v>Backlog</x:v>
      </x:c>
      <x:c r="J31" s="71" t="str">
        <x:v>Gabriel / Samuel</x:v>
      </x:c>
      <x:c r="K31" s="71" t="str">
        <x:v>PL-028, PL-005, PL-007</x:v>
      </x:c>
      <x:c r="L31" s="92" t="n">
        <x:v>8</x:v>
      </x:c>
      <x:c r="M31" s="71" t="str">
        <x:v>Sim</x:v>
      </x:c>
      <x:c r="N31" s="71" t="str">
        <x:v>Redis adapter somente quando houver múltiplas réplicas do backend.</x:v>
      </x:c>
      <x:c r="O31" s="69"/>
      <x:c r="P31" s="69"/>
      <x:c r="Q31" s="69" t="str">
        <x:v>V1 — lançamento</x:v>
      </x:c>
      <x:c r="R31" s="69"/>
      <x:c r="S31" s="69"/>
      <x:c r="T31" s="69"/>
      <x:c r="U31" s="69"/>
      <x:c r="V31" s="69"/>
      <x:c r="W31" s="69"/>
      <x:c r="X31" s="69"/>
      <x:c r="Y31" s="69"/>
      <x:c r="Z31" s="69"/>
    </x:row>
    <x:row r="32">
      <x:c r="A32" s="199" t="str">
        <x:v>PL-031</x:v>
      </x:c>
      <x:c r="B32" s="199" t="str">
        <x:v>Social</x:v>
      </x:c>
      <x:c r="C32" s="199" t="str">
        <x:v>Interface mesa ao vivo</x:v>
      </x:c>
      <x:c r="D32" s="199" t="str">
        <x:v>Mostrar ativos, disciplina/tempo permitido e contagem de descansando.</x:v>
      </x:c>
      <x:c r="E32" s="199" t="str">
        <x:v>Frontend</x:v>
      </x:c>
      <x:c r="F32" s="199" t="str">
        <x:v>Fase A</x:v>
      </x:c>
      <x:c r="G32" s="199" t="str">
        <x:v>S1</x:v>
      </x:c>
      <x:c r="H32" s="199" t="str">
        <x:v>Alta</x:v>
      </x:c>
      <x:c r="I32" s="199" t="str">
        <x:v>Backlog</x:v>
      </x:c>
      <x:c r="J32" s="199" t="str">
        <x:v>Pedro / Miqueias</x:v>
      </x:c>
      <x:c r="K32" s="199" t="str">
        <x:v>PL-030</x:v>
      </x:c>
      <x:c r="L32" s="200" t="n">
        <x:v>5</x:v>
      </x:c>
      <x:c r="M32" s="199" t="str">
        <x:v>Sim</x:v>
      </x:c>
      <x:c r="N32" s="199" t="str"/>
      <x:c r="O32" s="69"/>
      <x:c r="P32" s="69"/>
      <x:c r="Q32" s="69" t="str">
        <x:v>V1 — lançamento</x:v>
      </x:c>
      <x:c r="R32" s="69"/>
      <x:c r="S32" s="69"/>
      <x:c r="T32" s="69"/>
      <x:c r="U32" s="69"/>
      <x:c r="V32" s="69"/>
      <x:c r="W32" s="69"/>
      <x:c r="X32" s="69"/>
      <x:c r="Y32" s="69"/>
      <x:c r="Z32" s="69"/>
    </x:row>
    <x:row r="33">
      <x:c r="A33" s="71" t="str">
        <x:v>PL-032</x:v>
      </x:c>
      <x:c r="B33" s="71" t="str">
        <x:v>Cadastro e segurança</x:v>
      </x:c>
      <x:c r="C33" s="71" t="str">
        <x:v>Verificação de e-mail, Turnstile e proteção de cadastro</x:v>
      </x:c>
      <x:c r="D33" s="71" t="str">
        <x:v>Integrar confirmação de e-mail do Supabase Auth (bloquear recursos protegidos antes de confirmado), Cloudflare Turnstile no fluxo suportado, rate limit no backend e validação server-side de token; testar bots, tentativas repetidas e e-mail não verificado. Sem SMS ou telefone.</x:v>
      </x:c>
      <x:c r="E33" s="71" t="str">
        <x:v>Backend</x:v>
      </x:c>
      <x:c r="F33" s="71" t="str">
        <x:v>Fase A</x:v>
      </x:c>
      <x:c r="G33" s="71" t="str">
        <x:v>S1</x:v>
      </x:c>
      <x:c r="H33" s="71" t="str">
        <x:v>Alta</x:v>
      </x:c>
      <x:c r="I33" s="71" t="str">
        <x:v>Backlog</x:v>
      </x:c>
      <x:c r="J33" s="71" t="str">
        <x:v>Gabriel / Samuel</x:v>
      </x:c>
      <x:c r="K33" s="71" t="str">
        <x:v>PL-007, PL-005, PL-013</x:v>
      </x:c>
      <x:c r="L33" s="92" t="n">
        <x:v>8</x:v>
      </x:c>
      <x:c r="M33" s="71" t="str">
        <x:v>Sim</x:v>
      </x:c>
      <x:c r="N33" s="71" t="str">
        <x:v>Fornecedor e texto validados.</x:v>
      </x:c>
      <x:c r="O33" s="69"/>
      <x:c r="P33" s="69"/>
      <x:c r="Q33" s="69" t="str">
        <x:v>V1 — lançamento</x:v>
      </x:c>
      <x:c r="R33" s="69"/>
      <x:c r="S33" s="69"/>
      <x:c r="T33" s="69"/>
      <x:c r="U33" s="69"/>
      <x:c r="V33" s="69"/>
      <x:c r="W33" s="69"/>
      <x:c r="X33" s="69"/>
      <x:c r="Y33" s="69"/>
      <x:c r="Z33" s="69"/>
    </x:row>
    <x:row r="34">
      <x:c r="A34" s="199" t="str">
        <x:v>PL-033</x:v>
      </x:c>
      <x:c r="B34" s="199" t="str">
        <x:v>Segurança</x:v>
      </x:c>
      <x:c r="C34" s="199" t="str">
        <x:v>Validação segura de nome e apelido PT/EN</x:v>
      </x:c>
      <x:c r="D34" s="199" t="str">
        <x:v>Validar tamanho, formato Unicode, espaços, entradas malformadas; filtro de termos sexuais/ofensivos em português e inglês para nome/apelido, com tratamento de variantes/false positives e moderação humana. Nunca prometer verificar identidade civil. Testes automatizados de bloqueio e nomes legítimos.</x:v>
      </x:c>
      <x:c r="E34" s="199" t="str">
        <x:v>Segurança</x:v>
      </x:c>
      <x:c r="F34" s="199" t="str">
        <x:v>Fase A</x:v>
      </x:c>
      <x:c r="G34" s="199" t="str">
        <x:v>S1</x:v>
      </x:c>
      <x:c r="H34" s="199" t="str">
        <x:v>Alta</x:v>
      </x:c>
      <x:c r="I34" s="199" t="str">
        <x:v>Backlog</x:v>
      </x:c>
      <x:c r="J34" s="199" t="str">
        <x:v>Gabriel / Samuel</x:v>
      </x:c>
      <x:c r="K34" s="199" t="str">
        <x:v>PL-032, PL-018</x:v>
      </x:c>
      <x:c r="L34" s="200" t="n">
        <x:v>8</x:v>
      </x:c>
      <x:c r="M34" s="199" t="str">
        <x:v>Sim</x:v>
      </x:c>
      <x:c r="N34" s="199" t="str"/>
      <x:c r="O34" s="69"/>
      <x:c r="P34" s="69"/>
      <x:c r="Q34" s="69" t="str">
        <x:v>V1 — lançamento</x:v>
      </x:c>
      <x:c r="R34" s="69"/>
      <x:c r="S34" s="69"/>
      <x:c r="T34" s="69"/>
      <x:c r="U34" s="69"/>
      <x:c r="V34" s="69"/>
      <x:c r="W34" s="69"/>
      <x:c r="X34" s="69"/>
      <x:c r="Y34" s="69"/>
      <x:c r="Z34" s="69"/>
    </x:row>
    <x:row r="35">
      <x:c r="A35" s="71" t="str">
        <x:v>PL-034</x:v>
      </x:c>
      <x:c r="B35" s="71" t="str">
        <x:v>Revisões</x:v>
      </x:c>
      <x:c r="C35" s="71" t="str">
        <x:v>Modelo de revisões 1/7/30</x:v>
      </x:c>
      <x:c r="D35" s="71" t="str">
        <x:v>Criar revisões por tópico com estágio, datas original/prevista e estado.</x:v>
      </x:c>
      <x:c r="E35" s="71" t="str">
        <x:v>Backend</x:v>
      </x:c>
      <x:c r="F35" s="71" t="str">
        <x:v>Fase A</x:v>
      </x:c>
      <x:c r="G35" s="71" t="str">
        <x:v>S2</x:v>
      </x:c>
      <x:c r="H35" s="71" t="str">
        <x:v>Crítica</x:v>
      </x:c>
      <x:c r="I35" s="71" t="str">
        <x:v>Backlog</x:v>
      </x:c>
      <x:c r="J35" s="71" t="str">
        <x:v>Gabriel / Samuel</x:v>
      </x:c>
      <x:c r="K35" s="71" t="str">
        <x:v>PL-020, PL-010</x:v>
      </x:c>
      <x:c r="L35" s="92" t="n">
        <x:v>8</x:v>
      </x:c>
      <x:c r="M35" s="71" t="str">
        <x:v>Sim</x:v>
      </x:c>
      <x:c r="N35" s="71" t="str"/>
      <x:c r="O35" s="69"/>
      <x:c r="P35" s="69"/>
      <x:c r="Q35" s="69" t="str">
        <x:v>V1 — lançamento</x:v>
      </x:c>
      <x:c r="R35" s="69"/>
      <x:c r="S35" s="69"/>
      <x:c r="T35" s="69"/>
      <x:c r="U35" s="69"/>
      <x:c r="V35" s="69"/>
      <x:c r="W35" s="69"/>
      <x:c r="X35" s="69"/>
      <x:c r="Y35" s="69"/>
      <x:c r="Z35" s="69"/>
    </x:row>
    <x:row r="36">
      <x:c r="A36" s="199" t="str">
        <x:v>PL-035</x:v>
      </x:c>
      <x:c r="B36" s="199" t="str">
        <x:v>Revisões</x:v>
      </x:c>
      <x:c r="C36" s="199" t="str">
        <x:v>Concluir, reagendar e ignorar</x:v>
      </x:c>
      <x:c r="D36" s="199" t="str">
        <x:v>Ações auditadas; autoavaliação obrigatória ao concluir; acertos opcionais.</x:v>
      </x:c>
      <x:c r="E36" s="199" t="str">
        <x:v>Backend</x:v>
      </x:c>
      <x:c r="F36" s="199" t="str">
        <x:v>Fase A</x:v>
      </x:c>
      <x:c r="G36" s="199" t="str">
        <x:v>S2</x:v>
      </x:c>
      <x:c r="H36" s="199" t="str">
        <x:v>Crítica</x:v>
      </x:c>
      <x:c r="I36" s="199" t="str">
        <x:v>Backlog</x:v>
      </x:c>
      <x:c r="J36" s="199" t="str">
        <x:v>Gabriel / Samuel</x:v>
      </x:c>
      <x:c r="K36" s="199" t="str">
        <x:v>PL-034</x:v>
      </x:c>
      <x:c r="L36" s="200" t="n">
        <x:v>8</x:v>
      </x:c>
      <x:c r="M36" s="199" t="str">
        <x:v>Sim</x:v>
      </x:c>
      <x:c r="N36" s="199" t="str"/>
      <x:c r="O36" s="69"/>
      <x:c r="P36" s="69"/>
      <x:c r="Q36" s="69" t="str">
        <x:v>V1 — lançamento</x:v>
      </x:c>
      <x:c r="R36" s="69"/>
      <x:c r="S36" s="69"/>
      <x:c r="T36" s="69"/>
      <x:c r="U36" s="69"/>
      <x:c r="V36" s="69"/>
      <x:c r="W36" s="69"/>
      <x:c r="X36" s="69"/>
      <x:c r="Y36" s="69"/>
      <x:c r="Z36" s="69"/>
    </x:row>
    <x:row r="37">
      <x:c r="A37" s="71" t="str">
        <x:v>PL-036</x:v>
      </x:c>
      <x:c r="B37" s="71" t="str">
        <x:v>Revisões</x:v>
      </x:c>
      <x:c r="C37" s="71" t="str">
        <x:v>Configuração de espaço diário e folgas</x:v>
      </x:c>
      <x:c r="D37" s="71" t="str">
        <x:v>1h inicial, incrementos de 30min até 3h e dias sem agendamento.</x:v>
      </x:c>
      <x:c r="E37" s="71" t="str">
        <x:v>Backend</x:v>
      </x:c>
      <x:c r="F37" s="71" t="str">
        <x:v>Fase A</x:v>
      </x:c>
      <x:c r="G37" s="71" t="str">
        <x:v>S2</x:v>
      </x:c>
      <x:c r="H37" s="71" t="str">
        <x:v>Alta</x:v>
      </x:c>
      <x:c r="I37" s="71" t="str">
        <x:v>Backlog</x:v>
      </x:c>
      <x:c r="J37" s="71" t="str">
        <x:v>Gabriel / Samuel</x:v>
      </x:c>
      <x:c r="K37" s="71" t="str">
        <x:v>PL-034</x:v>
      </x:c>
      <x:c r="L37" s="92" t="n">
        <x:v>5</x:v>
      </x:c>
      <x:c r="M37" s="71" t="str">
        <x:v>Sim</x:v>
      </x:c>
      <x:c r="N37" s="71" t="str">
        <x:v>Parâmetros configuráveis sem deploy.</x:v>
      </x:c>
      <x:c r="O37" s="69"/>
      <x:c r="P37" s="69"/>
      <x:c r="Q37" s="69" t="str">
        <x:v>V1 — lançamento</x:v>
      </x:c>
      <x:c r="R37" s="69"/>
      <x:c r="S37" s="69"/>
      <x:c r="T37" s="69"/>
      <x:c r="U37" s="69"/>
      <x:c r="V37" s="69"/>
      <x:c r="W37" s="69"/>
      <x:c r="X37" s="69"/>
      <x:c r="Y37" s="69"/>
      <x:c r="Z37" s="69"/>
    </x:row>
    <x:row r="38">
      <x:c r="A38" s="199" t="str">
        <x:v>PL-037</x:v>
      </x:c>
      <x:c r="B38" s="199" t="str">
        <x:v>Revisões</x:v>
      </x:c>
      <x:c r="C38" s="199" t="str">
        <x:v>Distribuição por capacidade</x:v>
      </x:c>
      <x:c r="D38" s="199" t="str">
        <x:v>Mover revisões para dias vizinhos dentro das janelas definidas sem duplicar.</x:v>
      </x:c>
      <x:c r="E38" s="199" t="str">
        <x:v>Backend</x:v>
      </x:c>
      <x:c r="F38" s="199" t="str">
        <x:v>Fase A</x:v>
      </x:c>
      <x:c r="G38" s="199" t="str">
        <x:v>S2</x:v>
      </x:c>
      <x:c r="H38" s="199" t="str">
        <x:v>Crítica</x:v>
      </x:c>
      <x:c r="I38" s="199" t="str">
        <x:v>Backlog</x:v>
      </x:c>
      <x:c r="J38" s="199" t="str">
        <x:v>Gabriel / Samuel</x:v>
      </x:c>
      <x:c r="K38" s="199" t="str">
        <x:v>PL-034, PL-036</x:v>
      </x:c>
      <x:c r="L38" s="200" t="n">
        <x:v>8</x:v>
      </x:c>
      <x:c r="M38" s="199" t="str">
        <x:v>Sim</x:v>
      </x:c>
      <x:c r="N38" s="199" t="str"/>
      <x:c r="O38" s="69"/>
      <x:c r="P38" s="69"/>
      <x:c r="Q38" s="69" t="str">
        <x:v>V1 — lançamento</x:v>
      </x:c>
      <x:c r="R38" s="69"/>
      <x:c r="S38" s="69"/>
      <x:c r="T38" s="69"/>
      <x:c r="U38" s="69"/>
      <x:c r="V38" s="69"/>
      <x:c r="W38" s="69"/>
      <x:c r="X38" s="69"/>
      <x:c r="Y38" s="69"/>
      <x:c r="Z38" s="69"/>
    </x:row>
    <x:row r="39">
      <x:c r="A39" s="71" t="str">
        <x:v>PL-038</x:v>
      </x:c>
      <x:c r="B39" s="71" t="str">
        <x:v>Revisões</x:v>
      </x:c>
      <x:c r="C39" s="71" t="str">
        <x:v>Prioridade das revisões — cálculo determinístico</x:v>
      </x:c>
      <x:c r="D39" s="71" t="str">
        <x:v>Implementar e testar função pura de pontuação/prioridade a partir de peso, data da prova, autoavaliação, estágio, atraso e desempenho; contratos explícitos e configurações versionadas. Distribuição/capacidade permanece na PL-037.</x:v>
      </x:c>
      <x:c r="E39" s="71" t="str">
        <x:v>Backend</x:v>
      </x:c>
      <x:c r="F39" s="71" t="str">
        <x:v>Fase A</x:v>
      </x:c>
      <x:c r="G39" s="71" t="str">
        <x:v>S2</x:v>
      </x:c>
      <x:c r="H39" s="71" t="str">
        <x:v>Crítica</x:v>
      </x:c>
      <x:c r="I39" s="71" t="str">
        <x:v>Backlog</x:v>
      </x:c>
      <x:c r="J39" s="71" t="str">
        <x:v>Gabriel / Samuel</x:v>
      </x:c>
      <x:c r="K39" s="71" t="str">
        <x:v>PL-034</x:v>
      </x:c>
      <x:c r="L39" s="92" t="n">
        <x:v>8</x:v>
      </x:c>
      <x:c r="M39" s="71" t="str">
        <x:v>Sim</x:v>
      </x:c>
      <x:c r="N39" s="71" t="str">
        <x:v>Testes com exemplos resolvidos.</x:v>
      </x:c>
      <x:c r="O39" s="69"/>
      <x:c r="P39" s="69"/>
      <x:c r="Q39" s="69" t="str">
        <x:v>V1 — lançamento</x:v>
      </x:c>
      <x:c r="R39" s="69"/>
      <x:c r="S39" s="69"/>
      <x:c r="T39" s="69"/>
      <x:c r="U39" s="69"/>
      <x:c r="V39" s="69"/>
      <x:c r="W39" s="69"/>
      <x:c r="X39" s="69"/>
      <x:c r="Y39" s="69"/>
      <x:c r="Z39" s="69"/>
    </x:row>
    <x:row r="40">
      <x:c r="A40" s="199" t="str">
        <x:v>PL-039</x:v>
      </x:c>
      <x:c r="B40" s="199" t="str">
        <x:v>Revisões</x:v>
      </x:c>
      <x:c r="C40" s="199" t="str">
        <x:v>Aviso antecipado</x:v>
      </x:c>
      <x:c r="D40" s="199" t="str">
        <x:v>Detectar dia cheio, semana pesada e ritmo alto; limitar frequência de aviso.</x:v>
      </x:c>
      <x:c r="E40" s="199" t="str">
        <x:v>Backend</x:v>
      </x:c>
      <x:c r="F40" s="199" t="str">
        <x:v>Fase A</x:v>
      </x:c>
      <x:c r="G40" s="199" t="str">
        <x:v>S2</x:v>
      </x:c>
      <x:c r="H40" s="199" t="str">
        <x:v>Alta</x:v>
      </x:c>
      <x:c r="I40" s="199" t="str">
        <x:v>Backlog</x:v>
      </x:c>
      <x:c r="J40" s="199" t="str">
        <x:v>Gabriel / Samuel</x:v>
      </x:c>
      <x:c r="K40" s="199" t="str">
        <x:v>PL-036, PL-037</x:v>
      </x:c>
      <x:c r="L40" s="200" t="n">
        <x:v>5</x:v>
      </x:c>
      <x:c r="M40" s="199" t="str">
        <x:v>Sim</x:v>
      </x:c>
      <x:c r="N40" s="199" t="str"/>
      <x:c r="O40" s="69"/>
      <x:c r="P40" s="69"/>
      <x:c r="Q40" s="69" t="str">
        <x:v>V1 — lançamento</x:v>
      </x:c>
      <x:c r="R40" s="69"/>
      <x:c r="S40" s="69"/>
      <x:c r="T40" s="69"/>
      <x:c r="U40" s="69"/>
      <x:c r="V40" s="69"/>
      <x:c r="W40" s="69"/>
      <x:c r="X40" s="69"/>
      <x:c r="Y40" s="69"/>
      <x:c r="Z40" s="69"/>
    </x:row>
    <x:row r="41">
      <x:c r="A41" s="71" t="str">
        <x:v>PL-040</x:v>
      </x:c>
      <x:c r="B41" s="71" t="str">
        <x:v>Revisões</x:v>
      </x:c>
      <x:c r="C41" s="71" t="str">
        <x:v>Plano de recuperação</x:v>
      </x:c>
      <x:c r="D41" s="71" t="str">
        <x:v>Quando atrasos excedem limite, propor plano de 5-7 dias e revisão rápida.</x:v>
      </x:c>
      <x:c r="E41" s="71" t="str">
        <x:v>Backend</x:v>
      </x:c>
      <x:c r="F41" s="71" t="str">
        <x:v>Fase A</x:v>
      </x:c>
      <x:c r="G41" s="71" t="str">
        <x:v>S2</x:v>
      </x:c>
      <x:c r="H41" s="71" t="str">
        <x:v>Crítica</x:v>
      </x:c>
      <x:c r="I41" s="71" t="str">
        <x:v>Backlog</x:v>
      </x:c>
      <x:c r="J41" s="71" t="str">
        <x:v>Gabriel / Samuel</x:v>
      </x:c>
      <x:c r="K41" s="71" t="str">
        <x:v>PL-038, PL-039</x:v>
      </x:c>
      <x:c r="L41" s="92" t="n">
        <x:v>8</x:v>
      </x:c>
      <x:c r="M41" s="71" t="str">
        <x:v>Sim</x:v>
      </x:c>
      <x:c r="N41" s="71" t="str">
        <x:v>Usuário aceita/ajusta/ignora.</x:v>
      </x:c>
      <x:c r="O41" s="69"/>
      <x:c r="P41" s="69"/>
      <x:c r="Q41" s="69" t="str">
        <x:v>V1 — lançamento</x:v>
      </x:c>
      <x:c r="R41" s="69"/>
      <x:c r="S41" s="69"/>
      <x:c r="T41" s="69"/>
      <x:c r="U41" s="69"/>
      <x:c r="V41" s="69"/>
      <x:c r="W41" s="69"/>
      <x:c r="X41" s="69"/>
      <x:c r="Y41" s="69"/>
      <x:c r="Z41" s="69"/>
    </x:row>
    <x:row r="42">
      <x:c r="A42" s="199" t="str">
        <x:v>PL-041</x:v>
      </x:c>
      <x:c r="B42" s="199" t="str">
        <x:v>Revisões</x:v>
      </x:c>
      <x:c r="C42" s="199" t="str">
        <x:v>Retomada após inatividade</x:v>
      </x:c>
      <x:c r="D42" s="199" t="str">
        <x:v>Gatilhos 7/14/21 dias, triagem, volta gradual e arquivamento seguro.</x:v>
      </x:c>
      <x:c r="E42" s="199" t="str">
        <x:v>Backend</x:v>
      </x:c>
      <x:c r="F42" s="199" t="str">
        <x:v>Fase A</x:v>
      </x:c>
      <x:c r="G42" s="199" t="str">
        <x:v>S2</x:v>
      </x:c>
      <x:c r="H42" s="199" t="str">
        <x:v>Alta</x:v>
      </x:c>
      <x:c r="I42" s="199" t="str">
        <x:v>Backlog</x:v>
      </x:c>
      <x:c r="J42" s="199" t="str">
        <x:v>Gabriel / Samuel</x:v>
      </x:c>
      <x:c r="K42" s="199" t="str">
        <x:v>PL-034, PL-040</x:v>
      </x:c>
      <x:c r="L42" s="200" t="n">
        <x:v>8</x:v>
      </x:c>
      <x:c r="M42" s="199" t="str">
        <x:v>Sim</x:v>
      </x:c>
      <x:c r="N42" s="199" t="str"/>
      <x:c r="O42" s="69"/>
      <x:c r="P42" s="69"/>
      <x:c r="Q42" s="69" t="str">
        <x:v>V1 — lançamento</x:v>
      </x:c>
      <x:c r="R42" s="69"/>
      <x:c r="S42" s="69"/>
      <x:c r="T42" s="69"/>
      <x:c r="U42" s="69"/>
      <x:c r="V42" s="69"/>
      <x:c r="W42" s="69"/>
      <x:c r="X42" s="69"/>
      <x:c r="Y42" s="69"/>
      <x:c r="Z42" s="69"/>
    </x:row>
    <x:row r="43">
      <x:c r="A43" s="71" t="str">
        <x:v>PL-042</x:v>
      </x:c>
      <x:c r="B43" s="71" t="str">
        <x:v>Revisões</x:v>
      </x:c>
      <x:c r="C43" s="71" t="str">
        <x:v>Telas de revisão</x:v>
      </x:c>
      <x:c r="D43" s="71" t="str">
        <x:v>Fila, motivo da prioridade, ações, autoavaliação e estados vazios.</x:v>
      </x:c>
      <x:c r="E43" s="71" t="str">
        <x:v>Frontend</x:v>
      </x:c>
      <x:c r="F43" s="71" t="str">
        <x:v>Fase A</x:v>
      </x:c>
      <x:c r="G43" s="71" t="str">
        <x:v>S2</x:v>
      </x:c>
      <x:c r="H43" s="71" t="str">
        <x:v>Crítica</x:v>
      </x:c>
      <x:c r="I43" s="71" t="str">
        <x:v>Backlog</x:v>
      </x:c>
      <x:c r="J43" s="71" t="str">
        <x:v>Pedro / Miqueias</x:v>
      </x:c>
      <x:c r="K43" s="71" t="str">
        <x:v>PL-035, PL-038</x:v>
      </x:c>
      <x:c r="L43" s="92" t="n">
        <x:v>8</x:v>
      </x:c>
      <x:c r="M43" s="71" t="str">
        <x:v>Sim</x:v>
      </x:c>
      <x:c r="N43" s="71" t="str"/>
      <x:c r="O43" s="69"/>
      <x:c r="P43" s="69"/>
      <x:c r="Q43" s="69" t="str">
        <x:v>V1 — lançamento</x:v>
      </x:c>
      <x:c r="R43" s="69"/>
      <x:c r="S43" s="69"/>
      <x:c r="T43" s="69"/>
      <x:c r="U43" s="69"/>
      <x:c r="V43" s="69"/>
      <x:c r="W43" s="69"/>
      <x:c r="X43" s="69"/>
      <x:c r="Y43" s="69"/>
      <x:c r="Z43" s="69"/>
    </x:row>
    <x:row r="44">
      <x:c r="A44" s="199" t="str">
        <x:v>PL-043</x:v>
      </x:c>
      <x:c r="B44" s="199" t="str">
        <x:v>Pro</x:v>
      </x:c>
      <x:c r="C44" s="199" t="str">
        <x:v>Entitlements Free/Pro</x:v>
      </x:c>
      <x:c r="D44" s="199" t="str">
        <x:v>Fonte da verdade server-side para acesso ao Pro, trial e expiração.</x:v>
      </x:c>
      <x:c r="E44" s="199" t="str">
        <x:v>Backend</x:v>
      </x:c>
      <x:c r="F44" s="199" t="str">
        <x:v>Fase A</x:v>
      </x:c>
      <x:c r="G44" s="199" t="str">
        <x:v>S2</x:v>
      </x:c>
      <x:c r="H44" s="199" t="str">
        <x:v>Crítica</x:v>
      </x:c>
      <x:c r="I44" s="199" t="str">
        <x:v>Backlog</x:v>
      </x:c>
      <x:c r="J44" s="199" t="str">
        <x:v>Gabriel / Samuel</x:v>
      </x:c>
      <x:c r="K44" s="199" t="str">
        <x:v>PL-007, PL-010</x:v>
      </x:c>
      <x:c r="L44" s="200" t="n">
        <x:v>8</x:v>
      </x:c>
      <x:c r="M44" s="199" t="str">
        <x:v>Sim</x:v>
      </x:c>
      <x:c r="N44" s="199" t="str">
        <x:v>Nunca confiar no front.</x:v>
      </x:c>
      <x:c r="O44" s="69"/>
      <x:c r="P44" s="69"/>
      <x:c r="Q44" s="69" t="str">
        <x:v>V1 — lançamento</x:v>
      </x:c>
      <x:c r="R44" s="69"/>
      <x:c r="S44" s="69"/>
      <x:c r="T44" s="69"/>
      <x:c r="U44" s="69"/>
      <x:c r="V44" s="69"/>
      <x:c r="W44" s="69"/>
      <x:c r="X44" s="69"/>
      <x:c r="Y44" s="69"/>
      <x:c r="Z44" s="69"/>
    </x:row>
    <x:row r="45">
      <x:c r="A45" s="71" t="str">
        <x:v>PL-044</x:v>
      </x:c>
      <x:c r="B45" s="71" t="str">
        <x:v>Pro</x:v>
      </x:c>
      <x:c r="C45" s="71" t="str">
        <x:v>Teste Pro sem telefone e controle antiabuso</x:v>
      </x:c>
      <x:c r="D45" s="71" t="str">
        <x:v>Ofertar 14 dias após a primeira sessão elegível e e-mail confirmado; garantir uma concessão por conta; controles proporcionais antiabuso sem telefone/CPF/biometria; registrar concessões e alertas. Não afirmar unicidade de pessoa.</x:v>
      </x:c>
      <x:c r="E45" s="71" t="str">
        <x:v>Backend</x:v>
      </x:c>
      <x:c r="F45" s="71" t="str">
        <x:v>Fase A</x:v>
      </x:c>
      <x:c r="G45" s="71" t="str">
        <x:v>S2</x:v>
      </x:c>
      <x:c r="H45" s="71" t="str">
        <x:v>Alta</x:v>
      </x:c>
      <x:c r="I45" s="71" t="str">
        <x:v>Backlog</x:v>
      </x:c>
      <x:c r="J45" s="71" t="str">
        <x:v>Gabriel / Samuel</x:v>
      </x:c>
      <x:c r="K45" s="71" t="str">
        <x:v>PL-032, PL-043, PL-021</x:v>
      </x:c>
      <x:c r="L45" s="92" t="n">
        <x:v>8</x:v>
      </x:c>
      <x:c r="M45" s="71" t="str">
        <x:v>Sim</x:v>
      </x:c>
      <x:c r="N45" s="71" t="str">
        <x:v>Duração configurável.</x:v>
      </x:c>
      <x:c r="O45" s="69"/>
      <x:c r="P45" s="69"/>
      <x:c r="Q45" s="69" t="str">
        <x:v>V1 — lançamento</x:v>
      </x:c>
      <x:c r="R45" s="69"/>
      <x:c r="S45" s="69"/>
      <x:c r="T45" s="69"/>
      <x:c r="U45" s="69"/>
      <x:c r="V45" s="69"/>
      <x:c r="W45" s="69"/>
      <x:c r="X45" s="69"/>
      <x:c r="Y45" s="69"/>
      <x:c r="Z45" s="69"/>
    </x:row>
    <x:row r="46">
      <x:c r="A46" s="199" t="str">
        <x:v>PL-045</x:v>
      </x:c>
      <x:c r="B46" s="199" t="str">
        <x:v>Pro</x:v>
      </x:c>
      <x:c r="C46" s="199" t="str">
        <x:v>Fila guardada após trial</x:v>
      </x:c>
      <x:c r="D46" s="199" t="str">
        <x:v>Free vê contagem/tópicos guardados, mas não executa/reagenda revisões Pro.</x:v>
      </x:c>
      <x:c r="E46" s="199" t="str">
        <x:v>Backend</x:v>
      </x:c>
      <x:c r="F46" s="199" t="str">
        <x:v>Fase A</x:v>
      </x:c>
      <x:c r="G46" s="199" t="str">
        <x:v>S2</x:v>
      </x:c>
      <x:c r="H46" s="199" t="str">
        <x:v>Alta</x:v>
      </x:c>
      <x:c r="I46" s="199" t="str">
        <x:v>Backlog</x:v>
      </x:c>
      <x:c r="J46" s="199" t="str">
        <x:v>Gabriel / Samuel</x:v>
      </x:c>
      <x:c r="K46" s="199" t="str">
        <x:v>PL-043, PL-034</x:v>
      </x:c>
      <x:c r="L46" s="200" t="n">
        <x:v>5</x:v>
      </x:c>
      <x:c r="M46" s="199" t="str">
        <x:v>Sim</x:v>
      </x:c>
      <x:c r="N46" s="199" t="str"/>
      <x:c r="O46" s="69"/>
      <x:c r="P46" s="69"/>
      <x:c r="Q46" s="69" t="str">
        <x:v>V1 — lançamento</x:v>
      </x:c>
      <x:c r="R46" s="69"/>
      <x:c r="S46" s="69"/>
      <x:c r="T46" s="69"/>
      <x:c r="U46" s="69"/>
      <x:c r="V46" s="69"/>
      <x:c r="W46" s="69"/>
      <x:c r="X46" s="69"/>
      <x:c r="Y46" s="69"/>
      <x:c r="Z46" s="69"/>
    </x:row>
    <x:row r="47">
      <x:c r="A47" s="71" t="str">
        <x:v>PL-046</x:v>
      </x:c>
      <x:c r="B47" s="71" t="str">
        <x:v>Pro</x:v>
      </x:c>
      <x:c r="C47" s="71" t="str">
        <x:v>UI de ativação e oferta</x:v>
      </x:c>
      <x:c r="D47" s="71" t="str">
        <x:v>Tela de trial, benefícios, fila guardada e nova oferta sem dark patterns.</x:v>
      </x:c>
      <x:c r="E47" s="71" t="str">
        <x:v>Frontend</x:v>
      </x:c>
      <x:c r="F47" s="71" t="str">
        <x:v>Fase A</x:v>
      </x:c>
      <x:c r="G47" s="71" t="str">
        <x:v>S2</x:v>
      </x:c>
      <x:c r="H47" s="71" t="str">
        <x:v>Alta</x:v>
      </x:c>
      <x:c r="I47" s="71" t="str">
        <x:v>Backlog</x:v>
      </x:c>
      <x:c r="J47" s="71" t="str">
        <x:v>Pedro / Miqueias</x:v>
      </x:c>
      <x:c r="K47" s="71" t="str">
        <x:v>PL-044, PL-045</x:v>
      </x:c>
      <x:c r="L47" s="92" t="n">
        <x:v>5</x:v>
      </x:c>
      <x:c r="M47" s="71" t="str">
        <x:v>Sim</x:v>
      </x:c>
      <x:c r="N47" s="71" t="str">
        <x:v>Revisão jurídica de textos.</x:v>
      </x:c>
      <x:c r="O47" s="69"/>
      <x:c r="P47" s="69"/>
      <x:c r="Q47" s="69" t="str">
        <x:v>V1 — lançamento</x:v>
      </x:c>
      <x:c r="R47" s="69"/>
      <x:c r="S47" s="69"/>
      <x:c r="T47" s="69"/>
      <x:c r="U47" s="69"/>
      <x:c r="V47" s="69"/>
      <x:c r="W47" s="69"/>
      <x:c r="X47" s="69"/>
      <x:c r="Y47" s="69"/>
      <x:c r="Z47" s="69"/>
    </x:row>
    <x:row r="48">
      <x:c r="A48" s="199" t="str">
        <x:v>PL-047</x:v>
      </x:c>
      <x:c r="B48" s="199" t="str">
        <x:v>Social</x:v>
      </x:c>
      <x:c r="C48" s="199" t="str">
        <x:v>Mural e reações</x:v>
      </x:c>
      <x:c r="D48" s="199" t="str">
        <x:v>Cards opt-in; reações prontas; sem texto livre no lançamento.</x:v>
      </x:c>
      <x:c r="E48" s="199" t="str">
        <x:v>Backend</x:v>
      </x:c>
      <x:c r="F48" s="199" t="str">
        <x:v>Fase A</x:v>
      </x:c>
      <x:c r="G48" s="199" t="str">
        <x:v>S2</x:v>
      </x:c>
      <x:c r="H48" s="199" t="str">
        <x:v>Alta</x:v>
      </x:c>
      <x:c r="I48" s="199" t="str">
        <x:v>Backlog</x:v>
      </x:c>
      <x:c r="J48" s="199" t="str">
        <x:v>Gabriel / Samuel</x:v>
      </x:c>
      <x:c r="K48" s="199" t="str">
        <x:v>PL-028</x:v>
      </x:c>
      <x:c r="L48" s="200" t="n">
        <x:v>5</x:v>
      </x:c>
      <x:c r="M48" s="199" t="str">
        <x:v>Sim</x:v>
      </x:c>
      <x:c r="N48" s="199" t="str"/>
      <x:c r="O48" s="69"/>
      <x:c r="P48" s="69"/>
      <x:c r="Q48" s="69" t="str">
        <x:v>V1 — lançamento</x:v>
      </x:c>
      <x:c r="R48" s="69"/>
      <x:c r="S48" s="69"/>
      <x:c r="T48" s="69"/>
      <x:c r="U48" s="69"/>
      <x:c r="V48" s="69"/>
      <x:c r="W48" s="69"/>
      <x:c r="X48" s="69"/>
      <x:c r="Y48" s="69"/>
      <x:c r="Z48" s="69"/>
    </x:row>
    <x:row r="49">
      <x:c r="A49" s="71" t="str">
        <x:v>PL-048</x:v>
      </x:c>
      <x:c r="B49" s="71" t="str">
        <x:v>Social</x:v>
      </x:c>
      <x:c r="C49" s="71" t="str">
        <x:v>UI mural e reações</x:v>
      </x:c>
      <x:c r="D49" s="71" t="str">
        <x:v>Feed limitado ao grupo e privacidade; publicar por escolha do aluno.</x:v>
      </x:c>
      <x:c r="E49" s="71" t="str">
        <x:v>Frontend</x:v>
      </x:c>
      <x:c r="F49" s="71" t="str">
        <x:v>Fase A</x:v>
      </x:c>
      <x:c r="G49" s="71" t="str">
        <x:v>S2</x:v>
      </x:c>
      <x:c r="H49" s="71" t="str">
        <x:v>Alta</x:v>
      </x:c>
      <x:c r="I49" s="71" t="str">
        <x:v>Backlog</x:v>
      </x:c>
      <x:c r="J49" s="71" t="str">
        <x:v>Pedro / Miqueias</x:v>
      </x:c>
      <x:c r="K49" s="71" t="str">
        <x:v>PL-047</x:v>
      </x:c>
      <x:c r="L49" s="92" t="n">
        <x:v>5</x:v>
      </x:c>
      <x:c r="M49" s="71" t="str">
        <x:v>Sim</x:v>
      </x:c>
      <x:c r="N49" s="71" t="str"/>
      <x:c r="O49" s="69"/>
      <x:c r="P49" s="69"/>
      <x:c r="Q49" s="69" t="str">
        <x:v>V1 — lançamento</x:v>
      </x:c>
      <x:c r="R49" s="69"/>
      <x:c r="S49" s="69"/>
      <x:c r="T49" s="69"/>
      <x:c r="U49" s="69"/>
      <x:c r="V49" s="69"/>
      <x:c r="W49" s="69"/>
      <x:c r="X49" s="69"/>
      <x:c r="Y49" s="69"/>
      <x:c r="Z49" s="69"/>
    </x:row>
    <x:row r="50">
      <x:c r="A50" s="199" t="str">
        <x:v>PL-049</x:v>
      </x:c>
      <x:c r="B50" s="199" t="str">
        <x:v>Social</x:v>
      </x:c>
      <x:c r="C50" s="199" t="str">
        <x:v>Regra de inatividade</x:v>
      </x:c>
      <x:c r="D50" s="199" t="str">
        <x:v>7 dias: sai da mesa/ranking; ~21 dias: sai do grupo, histórico preservado.</x:v>
      </x:c>
      <x:c r="E50" s="199" t="str">
        <x:v>Backend</x:v>
      </x:c>
      <x:c r="F50" s="199" t="str">
        <x:v>Fase A</x:v>
      </x:c>
      <x:c r="G50" s="199" t="str">
        <x:v>S2</x:v>
      </x:c>
      <x:c r="H50" s="199" t="str">
        <x:v>Média</x:v>
      </x:c>
      <x:c r="I50" s="199" t="str">
        <x:v>Backlog</x:v>
      </x:c>
      <x:c r="J50" s="199" t="str">
        <x:v>Gabriel / Samuel</x:v>
      </x:c>
      <x:c r="K50" s="199" t="str">
        <x:v>PL-028, PL-030</x:v>
      </x:c>
      <x:c r="L50" s="200" t="n">
        <x:v>5</x:v>
      </x:c>
      <x:c r="M50" s="199" t="str">
        <x:v>Sim</x:v>
      </x:c>
      <x:c r="N50" s="199" t="str"/>
      <x:c r="O50" s="69"/>
      <x:c r="P50" s="69"/>
      <x:c r="Q50" s="69" t="str">
        <x:v>V1 — lançamento</x:v>
      </x:c>
      <x:c r="R50" s="69"/>
      <x:c r="S50" s="69"/>
      <x:c r="T50" s="69"/>
      <x:c r="U50" s="69"/>
      <x:c r="V50" s="69"/>
      <x:c r="W50" s="69"/>
      <x:c r="X50" s="69"/>
      <x:c r="Y50" s="69"/>
      <x:c r="Z50" s="69"/>
    </x:row>
    <x:row r="51">
      <x:c r="A51" s="71" t="str">
        <x:v>PL-050</x:v>
      </x:c>
      <x:c r="B51" s="71" t="str">
        <x:v>Ranking</x:v>
      </x:c>
      <x:c r="C51" s="71" t="str">
        <x:v>Ranking de grupo</x:v>
      </x:c>
      <x:c r="D51" s="71" t="str">
        <x:v>Por horas e % da meta; teto 10h/dia; apenas timer; somente ativos.</x:v>
      </x:c>
      <x:c r="E51" s="71" t="str">
        <x:v>Backend</x:v>
      </x:c>
      <x:c r="F51" s="71" t="str">
        <x:v>Fase A</x:v>
      </x:c>
      <x:c r="G51" s="71" t="str">
        <x:v>S2</x:v>
      </x:c>
      <x:c r="H51" s="71" t="str">
        <x:v>Crítica</x:v>
      </x:c>
      <x:c r="I51" s="71" t="str">
        <x:v>Backlog</x:v>
      </x:c>
      <x:c r="J51" s="71" t="str">
        <x:v>Gabriel / Samuel</x:v>
      </x:c>
      <x:c r="K51" s="71" t="str">
        <x:v>PL-021, PL-028</x:v>
      </x:c>
      <x:c r="L51" s="92" t="n">
        <x:v>8</x:v>
      </x:c>
      <x:c r="M51" s="71" t="str">
        <x:v>Sim</x:v>
      </x:c>
      <x:c r="N51" s="71" t="str">
        <x:v>Anti-manipulação.</x:v>
      </x:c>
      <x:c r="O51" s="69"/>
      <x:c r="P51" s="69"/>
      <x:c r="Q51" s="69" t="str">
        <x:v>V1 — lançamento</x:v>
      </x:c>
      <x:c r="R51" s="69"/>
      <x:c r="S51" s="69"/>
      <x:c r="T51" s="69"/>
      <x:c r="U51" s="69"/>
      <x:c r="V51" s="69"/>
      <x:c r="W51" s="69"/>
      <x:c r="X51" s="69"/>
      <x:c r="Y51" s="69"/>
      <x:c r="Z51" s="69"/>
    </x:row>
    <x:row r="52">
      <x:c r="A52" s="199" t="str">
        <x:v>PL-051</x:v>
      </x:c>
      <x:c r="B52" s="199" t="str">
        <x:v>Ranking</x:v>
      </x:c>
      <x:c r="C52" s="199" t="str">
        <x:v>Tela de ranking</x:v>
      </x:c>
      <x:c r="D52" s="199" t="str">
        <x:v>Exibir apelido, horas e % da meta conforme privacidade.</x:v>
      </x:c>
      <x:c r="E52" s="199" t="str">
        <x:v>Frontend</x:v>
      </x:c>
      <x:c r="F52" s="199" t="str">
        <x:v>Fase A</x:v>
      </x:c>
      <x:c r="G52" s="199" t="str">
        <x:v>S2</x:v>
      </x:c>
      <x:c r="H52" s="199" t="str">
        <x:v>Alta</x:v>
      </x:c>
      <x:c r="I52" s="199" t="str">
        <x:v>Backlog</x:v>
      </x:c>
      <x:c r="J52" s="199" t="str">
        <x:v>Pedro / Miqueias</x:v>
      </x:c>
      <x:c r="K52" s="199" t="str">
        <x:v>PL-050</x:v>
      </x:c>
      <x:c r="L52" s="200" t="n">
        <x:v>5</x:v>
      </x:c>
      <x:c r="M52" s="199" t="str">
        <x:v>Sim</x:v>
      </x:c>
      <x:c r="N52" s="199" t="str">
        <x:v>Nome real nunca público.</x:v>
      </x:c>
      <x:c r="O52" s="69"/>
      <x:c r="P52" s="69"/>
      <x:c r="Q52" s="69" t="str">
        <x:v>V1 — lançamento</x:v>
      </x:c>
      <x:c r="R52" s="69"/>
      <x:c r="S52" s="69"/>
      <x:c r="T52" s="69"/>
      <x:c r="U52" s="69"/>
      <x:c r="V52" s="69"/>
      <x:c r="W52" s="69"/>
      <x:c r="X52" s="69"/>
      <x:c r="Y52" s="69"/>
      <x:c r="Z52" s="69"/>
    </x:row>
    <x:row r="53">
      <x:c r="A53" s="71" t="str">
        <x:v>PL-052</x:v>
      </x:c>
      <x:c r="B53" s="71" t="str">
        <x:v>Pagamentos</x:v>
      </x:c>
      <x:c r="C53" s="71" t="str">
        <x:v>Credenciamento Mercado Pago</x:v>
      </x:c>
      <x:c r="D53" s="71" t="str">
        <x:v>Conta e credenciais de teste/produção prontas; decisão de Pix recorrente confirmada.</x:v>
      </x:c>
      <x:c r="E53" s="71" t="str">
        <x:v>Integração</x:v>
      </x:c>
      <x:c r="F53" s="71" t="str">
        <x:v>Fase A</x:v>
      </x:c>
      <x:c r="G53" s="71" t="str">
        <x:v>S3</x:v>
      </x:c>
      <x:c r="H53" s="71" t="str">
        <x:v>Crítica</x:v>
      </x:c>
      <x:c r="I53" s="71" t="str">
        <x:v>Backlog</x:v>
      </x:c>
      <x:c r="J53" s="71" t="str">
        <x:v>Gestão</x:v>
      </x:c>
      <x:c r="K53" s="71" t="str">
        <x:v>-</x:v>
      </x:c>
      <x:c r="L53" s="92" t="n">
        <x:v>2</x:v>
      </x:c>
      <x:c r="M53" s="71" t="str">
        <x:v>Sim</x:v>
      </x:c>
      <x:c r="N53" s="71" t="str">
        <x:v>Dependência externa.</x:v>
      </x:c>
      <x:c r="O53" s="69"/>
      <x:c r="P53" s="69"/>
      <x:c r="Q53" s="69" t="str">
        <x:v>V1 — lançamento</x:v>
      </x:c>
      <x:c r="R53" s="69"/>
      <x:c r="S53" s="69"/>
      <x:c r="T53" s="69"/>
      <x:c r="U53" s="69"/>
      <x:c r="V53" s="69"/>
      <x:c r="W53" s="69"/>
      <x:c r="X53" s="69"/>
      <x:c r="Y53" s="69"/>
      <x:c r="Z53" s="69"/>
    </x:row>
    <x:row r="54">
      <x:c r="A54" s="199" t="str">
        <x:v>PL-053</x:v>
      </x:c>
      <x:c r="B54" s="199" t="str">
        <x:v>Pagamentos</x:v>
      </x:c>
      <x:c r="C54" s="199" t="str">
        <x:v>Planos mensal e anual</x:v>
      </x:c>
      <x:c r="D54" s="199" t="str">
        <x:v>Tabela de planos/ofertas configurável; preços não hardcoded.</x:v>
      </x:c>
      <x:c r="E54" s="199" t="str">
        <x:v>Backend</x:v>
      </x:c>
      <x:c r="F54" s="199" t="str">
        <x:v>Fase A</x:v>
      </x:c>
      <x:c r="G54" s="199" t="str">
        <x:v>S3</x:v>
      </x:c>
      <x:c r="H54" s="199" t="str">
        <x:v>Crítica</x:v>
      </x:c>
      <x:c r="I54" s="199" t="str">
        <x:v>Backlog</x:v>
      </x:c>
      <x:c r="J54" s="199" t="str">
        <x:v>Gabriel / Samuel</x:v>
      </x:c>
      <x:c r="K54" s="199" t="str">
        <x:v>PL-043, PL-052</x:v>
      </x:c>
      <x:c r="L54" s="200" t="n">
        <x:v>5</x:v>
      </x:c>
      <x:c r="M54" s="199" t="str">
        <x:v>Sim</x:v>
      </x:c>
      <x:c r="N54" s="199" t="str"/>
      <x:c r="O54" s="69"/>
      <x:c r="P54" s="69"/>
      <x:c r="Q54" s="69" t="str">
        <x:v>V1 — lançamento</x:v>
      </x:c>
      <x:c r="R54" s="69"/>
      <x:c r="S54" s="69"/>
      <x:c r="T54" s="69"/>
      <x:c r="U54" s="69"/>
      <x:c r="V54" s="69"/>
      <x:c r="W54" s="69"/>
      <x:c r="X54" s="69"/>
      <x:c r="Y54" s="69"/>
      <x:c r="Z54" s="69"/>
    </x:row>
    <x:row r="55">
      <x:c r="A55" s="71" t="str">
        <x:v>PL-054</x:v>
      </x:c>
      <x:c r="B55" s="71" t="str">
        <x:v>Pagamentos</x:v>
      </x:c>
      <x:c r="C55" s="71" t="str">
        <x:v>Checkout / criação de assinatura</x:v>
      </x:c>
      <x:c r="D55" s="71" t="str">
        <x:v>Criar cobrança de cartão/Pix conforme gateway; sem dados de cartão no Plantel.</x:v>
      </x:c>
      <x:c r="E55" s="71" t="str">
        <x:v>Backend</x:v>
      </x:c>
      <x:c r="F55" s="71" t="str">
        <x:v>Fase A</x:v>
      </x:c>
      <x:c r="G55" s="71" t="str">
        <x:v>S3</x:v>
      </x:c>
      <x:c r="H55" s="71" t="str">
        <x:v>Crítica</x:v>
      </x:c>
      <x:c r="I55" s="71" t="str">
        <x:v>Backlog</x:v>
      </x:c>
      <x:c r="J55" s="71" t="str">
        <x:v>Gabriel / Samuel</x:v>
      </x:c>
      <x:c r="K55" s="71" t="str">
        <x:v>PL-052, PL-053</x:v>
      </x:c>
      <x:c r="L55" s="92" t="n">
        <x:v>8</x:v>
      </x:c>
      <x:c r="M55" s="71" t="str">
        <x:v>Sim</x:v>
      </x:c>
      <x:c r="N55" s="71" t="str">
        <x:v>Tokenização pelo gateway.</x:v>
      </x:c>
      <x:c r="O55" s="69"/>
      <x:c r="P55" s="69"/>
      <x:c r="Q55" s="69" t="str">
        <x:v>V1 — lançamento</x:v>
      </x:c>
      <x:c r="R55" s="69"/>
      <x:c r="S55" s="69"/>
      <x:c r="T55" s="69"/>
      <x:c r="U55" s="69"/>
      <x:c r="V55" s="69"/>
      <x:c r="W55" s="69"/>
      <x:c r="X55" s="69"/>
      <x:c r="Y55" s="69"/>
      <x:c r="Z55" s="69"/>
    </x:row>
    <x:row r="56">
      <x:c r="A56" s="199" t="str">
        <x:v>PL-055</x:v>
      </x:c>
      <x:c r="B56" s="199" t="str">
        <x:v>Pagamentos</x:v>
      </x:c>
      <x:c r="C56" s="199" t="str">
        <x:v>Webhook Mercado Pago — verificação e idempotência</x:v>
      </x:c>
      <x:c r="D56" s="199" t="str">
        <x:v>Validar autenticidade, correlacionar eventos de pagamento, gravar evento de forma idempotente com UNIQUE e transação; distinguir evento duplicado e fora de ordem. Reconciliar por PL-056. Criar testes para replay e concorrência.</x:v>
      </x:c>
      <x:c r="E56" s="199" t="str">
        <x:v>Backend</x:v>
      </x:c>
      <x:c r="F56" s="199" t="str">
        <x:v>Fase A</x:v>
      </x:c>
      <x:c r="G56" s="199" t="str">
        <x:v>S3</x:v>
      </x:c>
      <x:c r="H56" s="199" t="str">
        <x:v>Crítica</x:v>
      </x:c>
      <x:c r="I56" s="199" t="str">
        <x:v>Backlog</x:v>
      </x:c>
      <x:c r="J56" s="199" t="str">
        <x:v>Gabriel / Samuel</x:v>
      </x:c>
      <x:c r="K56" s="199" t="str">
        <x:v>PL-054</x:v>
      </x:c>
      <x:c r="L56" s="200" t="n">
        <x:v>8</x:v>
      </x:c>
      <x:c r="M56" s="199" t="str">
        <x:v>Sim</x:v>
      </x:c>
      <x:c r="N56" s="199" t="str"/>
      <x:c r="O56" s="69"/>
      <x:c r="P56" s="69"/>
      <x:c r="Q56" s="69" t="str">
        <x:v>V1 — lançamento</x:v>
      </x:c>
      <x:c r="R56" s="69"/>
      <x:c r="S56" s="69"/>
      <x:c r="T56" s="69"/>
      <x:c r="U56" s="69"/>
      <x:c r="V56" s="69"/>
      <x:c r="W56" s="69"/>
      <x:c r="X56" s="69"/>
      <x:c r="Y56" s="69"/>
      <x:c r="Z56" s="69"/>
    </x:row>
    <x:row r="57">
      <x:c r="A57" s="71" t="str">
        <x:v>PL-056</x:v>
      </x:c>
      <x:c r="B57" s="71" t="str">
        <x:v>Pagamentos</x:v>
      </x:c>
      <x:c r="C57" s="71" t="str">
        <x:v>Conciliação diária</x:v>
      </x:c>
      <x:c r="D57" s="71" t="str">
        <x:v>Reconcilia gateway x assinatura interna; corrige eventos perdidos.</x:v>
      </x:c>
      <x:c r="E57" s="71" t="str">
        <x:v>Backend</x:v>
      </x:c>
      <x:c r="F57" s="71" t="str">
        <x:v>Fase A</x:v>
      </x:c>
      <x:c r="G57" s="71" t="str">
        <x:v>S3</x:v>
      </x:c>
      <x:c r="H57" s="71" t="str">
        <x:v>Crítica</x:v>
      </x:c>
      <x:c r="I57" s="71" t="str">
        <x:v>Backlog</x:v>
      </x:c>
      <x:c r="J57" s="71" t="str">
        <x:v>Gabriel / Samuel</x:v>
      </x:c>
      <x:c r="K57" s="71" t="str">
        <x:v>PL-055</x:v>
      </x:c>
      <x:c r="L57" s="92" t="n">
        <x:v>8</x:v>
      </x:c>
      <x:c r="M57" s="71" t="str">
        <x:v>Sim</x:v>
      </x:c>
      <x:c r="N57" s="71" t="str"/>
      <x:c r="O57" s="69"/>
      <x:c r="P57" s="69"/>
      <x:c r="Q57" s="69" t="str">
        <x:v>V1 — lançamento</x:v>
      </x:c>
      <x:c r="R57" s="69"/>
      <x:c r="S57" s="69"/>
      <x:c r="T57" s="69"/>
      <x:c r="U57" s="69"/>
      <x:c r="V57" s="69"/>
      <x:c r="W57" s="69"/>
      <x:c r="X57" s="69"/>
      <x:c r="Y57" s="69"/>
      <x:c r="Z57" s="69"/>
    </x:row>
    <x:row r="58">
      <x:c r="A58" s="199" t="str">
        <x:v>PL-057</x:v>
      </x:c>
      <x:c r="B58" s="199" t="str">
        <x:v>Pagamentos</x:v>
      </x:c>
      <x:c r="C58" s="199" t="str">
        <x:v>Cancelamento e carência</x:v>
      </x:c>
      <x:c r="D58" s="199" t="str">
        <x:v>Cancelamento respeita período pago; cobrança recusada com regra de carência.</x:v>
      </x:c>
      <x:c r="E58" s="199" t="str">
        <x:v>Backend</x:v>
      </x:c>
      <x:c r="F58" s="199" t="str">
        <x:v>Fase A</x:v>
      </x:c>
      <x:c r="G58" s="199" t="str">
        <x:v>S3</x:v>
      </x:c>
      <x:c r="H58" s="199" t="str">
        <x:v>Crítica</x:v>
      </x:c>
      <x:c r="I58" s="199" t="str">
        <x:v>Backlog</x:v>
      </x:c>
      <x:c r="J58" s="199" t="str">
        <x:v>Gabriel / Samuel</x:v>
      </x:c>
      <x:c r="K58" s="199" t="str">
        <x:v>PL-055</x:v>
      </x:c>
      <x:c r="L58" s="200" t="n">
        <x:v>8</x:v>
      </x:c>
      <x:c r="M58" s="199" t="str">
        <x:v>Sim</x:v>
      </x:c>
      <x:c r="N58" s="199" t="str">
        <x:v>Textos/prazos com jurídico.</x:v>
      </x:c>
      <x:c r="O58" s="69"/>
      <x:c r="P58" s="69"/>
      <x:c r="Q58" s="69" t="str">
        <x:v>V1 — lançamento</x:v>
      </x:c>
      <x:c r="R58" s="69"/>
      <x:c r="S58" s="69"/>
      <x:c r="T58" s="69"/>
      <x:c r="U58" s="69"/>
      <x:c r="V58" s="69"/>
      <x:c r="W58" s="69"/>
      <x:c r="X58" s="69"/>
      <x:c r="Y58" s="69"/>
      <x:c r="Z58" s="69"/>
    </x:row>
    <x:row r="59">
      <x:c r="A59" s="71" t="str">
        <x:v>PL-058</x:v>
      </x:c>
      <x:c r="B59" s="71" t="str">
        <x:v>Pagamentos</x:v>
      </x:c>
      <x:c r="C59" s="71" t="str">
        <x:v>UI assinatura e cancelamento</x:v>
      </x:c>
      <x:c r="D59" s="71" t="str">
        <x:v>Planos, status da assinatura, histórico mínimo e autoatendimento de cancelamento.</x:v>
      </x:c>
      <x:c r="E59" s="71" t="str">
        <x:v>Frontend</x:v>
      </x:c>
      <x:c r="F59" s="71" t="str">
        <x:v>Fase A</x:v>
      </x:c>
      <x:c r="G59" s="71" t="str">
        <x:v>S3</x:v>
      </x:c>
      <x:c r="H59" s="71" t="str">
        <x:v>Alta</x:v>
      </x:c>
      <x:c r="I59" s="71" t="str">
        <x:v>Backlog</x:v>
      </x:c>
      <x:c r="J59" s="71" t="str">
        <x:v>Pedro / Miqueias</x:v>
      </x:c>
      <x:c r="K59" s="71" t="str">
        <x:v>PL-053, PL-057</x:v>
      </x:c>
      <x:c r="L59" s="92" t="n">
        <x:v>5</x:v>
      </x:c>
      <x:c r="M59" s="71" t="str">
        <x:v>Sim</x:v>
      </x:c>
      <x:c r="N59" s="71" t="str"/>
      <x:c r="O59" s="69"/>
      <x:c r="P59" s="69"/>
      <x:c r="Q59" s="69" t="str">
        <x:v>V1 — lançamento</x:v>
      </x:c>
      <x:c r="R59" s="69"/>
      <x:c r="S59" s="69"/>
      <x:c r="T59" s="69"/>
      <x:c r="U59" s="69"/>
      <x:c r="V59" s="69"/>
      <x:c r="W59" s="69"/>
      <x:c r="X59" s="69"/>
      <x:c r="Y59" s="69"/>
      <x:c r="Z59" s="69"/>
    </x:row>
    <x:row r="60">
      <x:c r="A60" s="199" t="str">
        <x:v>PL-059</x:v>
      </x:c>
      <x:c r="B60" s="199" t="str">
        <x:v>Relatórios</x:v>
      </x:c>
      <x:c r="C60" s="199" t="str">
        <x:v>Resumo de domingo descritivo</x:v>
      </x:c>
      <x:c r="D60" s="199" t="str">
        <x:v>Gerar resumo semanal sem recomendação de IA e sempre apresentar caminho/solução.</x:v>
      </x:c>
      <x:c r="E60" s="199" t="str">
        <x:v>Backend</x:v>
      </x:c>
      <x:c r="F60" s="199" t="str">
        <x:v>Fase A</x:v>
      </x:c>
      <x:c r="G60" s="199" t="str">
        <x:v>S3</x:v>
      </x:c>
      <x:c r="H60" s="199" t="str">
        <x:v>Alta</x:v>
      </x:c>
      <x:c r="I60" s="199" t="str">
        <x:v>Backlog</x:v>
      </x:c>
      <x:c r="J60" s="199" t="str">
        <x:v>Gabriel / Samuel</x:v>
      </x:c>
      <x:c r="K60" s="199" t="str">
        <x:v>PL-034, PL-020</x:v>
      </x:c>
      <x:c r="L60" s="200" t="n">
        <x:v>8</x:v>
      </x:c>
      <x:c r="M60" s="199" t="str">
        <x:v>Sim</x:v>
      </x:c>
      <x:c r="N60" s="199" t="str"/>
      <x:c r="O60" s="69"/>
      <x:c r="P60" s="69"/>
      <x:c r="Q60" s="69" t="str">
        <x:v>V1 — lançamento</x:v>
      </x:c>
      <x:c r="R60" s="69"/>
      <x:c r="S60" s="69"/>
      <x:c r="T60" s="69"/>
      <x:c r="U60" s="69"/>
      <x:c r="V60" s="69"/>
      <x:c r="W60" s="69"/>
      <x:c r="X60" s="69"/>
      <x:c r="Y60" s="69"/>
      <x:c r="Z60" s="69"/>
    </x:row>
    <x:row r="61">
      <x:c r="A61" s="71" t="str">
        <x:v>PL-060</x:v>
      </x:c>
      <x:c r="B61" s="71" t="str">
        <x:v>Relatórios</x:v>
      </x:c>
      <x:c r="C61" s="71" t="str">
        <x:v>Tela de resumo semanal</x:v>
      </x:c>
      <x:c r="D61" s="71" t="str">
        <x:v>UI clara com progresso, revisões e próxima semana.</x:v>
      </x:c>
      <x:c r="E61" s="71" t="str">
        <x:v>Frontend</x:v>
      </x:c>
      <x:c r="F61" s="71" t="str">
        <x:v>Fase A</x:v>
      </x:c>
      <x:c r="G61" s="71" t="str">
        <x:v>S3</x:v>
      </x:c>
      <x:c r="H61" s="71" t="str">
        <x:v>Alta</x:v>
      </x:c>
      <x:c r="I61" s="71" t="str">
        <x:v>Backlog</x:v>
      </x:c>
      <x:c r="J61" s="71" t="str">
        <x:v>Pedro / Miqueias</x:v>
      </x:c>
      <x:c r="K61" s="71" t="str">
        <x:v>PL-059</x:v>
      </x:c>
      <x:c r="L61" s="92" t="n">
        <x:v>5</x:v>
      </x:c>
      <x:c r="M61" s="71" t="str">
        <x:v>Sim</x:v>
      </x:c>
      <x:c r="N61" s="71" t="str"/>
      <x:c r="O61" s="69"/>
      <x:c r="P61" s="69"/>
      <x:c r="Q61" s="69" t="str">
        <x:v>V1 — lançamento</x:v>
      </x:c>
      <x:c r="R61" s="69"/>
      <x:c r="S61" s="69"/>
      <x:c r="T61" s="69"/>
      <x:c r="U61" s="69"/>
      <x:c r="V61" s="69"/>
      <x:c r="W61" s="69"/>
      <x:c r="X61" s="69"/>
      <x:c r="Y61" s="69"/>
      <x:c r="Z61" s="69"/>
    </x:row>
    <x:row r="62">
      <x:c r="A62" s="199" t="str">
        <x:v>PL-061</x:v>
      </x:c>
      <x:c r="B62" s="199" t="str">
        <x:v>Social</x:v>
      </x:c>
      <x:c r="C62" s="199" t="str">
        <x:v>Indicações e recompensas sem verificação telefônica</x:v>
      </x:c>
      <x:c r="D62" s="199" t="str">
        <x:v>Validar critérios de indicação e recompensa no servidor com e-mail confirmado, eventos elegíveis, idempotência e auditoria; antifraude proporcional, sem obrigar número de telefone.</x:v>
      </x:c>
      <x:c r="E62" s="199" t="str">
        <x:v>Backend</x:v>
      </x:c>
      <x:c r="F62" s="199" t="str">
        <x:v>Fase A</x:v>
      </x:c>
      <x:c r="G62" s="199" t="str">
        <x:v>S3</x:v>
      </x:c>
      <x:c r="H62" s="199" t="str">
        <x:v>Média</x:v>
      </x:c>
      <x:c r="I62" s="199" t="str">
        <x:v>Backlog</x:v>
      </x:c>
      <x:c r="J62" s="199" t="str">
        <x:v>Gabriel / Samuel</x:v>
      </x:c>
      <x:c r="K62" s="199" t="str">
        <x:v>PL-032, PL-043</x:v>
      </x:c>
      <x:c r="L62" s="200" t="n">
        <x:v>8</x:v>
      </x:c>
      <x:c r="M62" s="199" t="str">
        <x:v>Sim</x:v>
      </x:c>
      <x:c r="N62" s="199" t="str">
        <x:v>Revalidar elegibilidade/recompensa sem verificação telefônica e aprovar regras antes da implementação.</x:v>
      </x:c>
      <x:c r="O62" s="69"/>
      <x:c r="P62" s="69"/>
      <x:c r="Q62" s="69" t="str">
        <x:v>V1 — depende de validação da recompensa sem telefone</x:v>
      </x:c>
      <x:c r="R62" s="69"/>
      <x:c r="S62" s="69"/>
      <x:c r="T62" s="69"/>
      <x:c r="U62" s="69"/>
      <x:c r="V62" s="69"/>
      <x:c r="W62" s="69"/>
      <x:c r="X62" s="69"/>
      <x:c r="Y62" s="69"/>
      <x:c r="Z62" s="69"/>
    </x:row>
    <x:row r="63">
      <x:c r="A63" s="71" t="str">
        <x:v>PL-062</x:v>
      </x:c>
      <x:c r="B63" s="71" t="str">
        <x:v>Social</x:v>
      </x:c>
      <x:c r="C63" s="71" t="str">
        <x:v>Duelo</x:v>
      </x:c>
      <x:c r="D63" s="71" t="str">
        <x:v>Desafio entre amigos com data final e notificações.</x:v>
      </x:c>
      <x:c r="E63" s="71" t="str">
        <x:v>Backend</x:v>
      </x:c>
      <x:c r="F63" s="71" t="str">
        <x:v>Fase A</x:v>
      </x:c>
      <x:c r="G63" s="71" t="str">
        <x:v>S3</x:v>
      </x:c>
      <x:c r="H63" s="71" t="str">
        <x:v>Baixa</x:v>
      </x:c>
      <x:c r="I63" s="71" t="str">
        <x:v>Reservado — fora do lançamento</x:v>
      </x:c>
      <x:c r="J63" s="71" t="str">
        <x:v>Gabriel / Samuel</x:v>
      </x:c>
      <x:c r="K63" s="71" t="str">
        <x:v>PL-028</x:v>
      </x:c>
      <x:c r="L63" s="92" t="n">
        <x:v>5</x:v>
      </x:c>
      <x:c r="M63" s="71" t="str">
        <x:v>Sim</x:v>
      </x:c>
      <x:c r="N63" s="71" t="str">
        <x:v>Item condicional 1.0.x conforme especificação original: não criar Issue ativa nem bloquear lançamento.</x:v>
      </x:c>
      <x:c r="O63" s="69"/>
      <x:c r="P63" s="69"/>
      <x:c r="Q63" s="69" t="str">
        <x:v>1.0.x — CONDICIONAL (fora do lançamento)</x:v>
      </x:c>
      <x:c r="R63" s="69"/>
      <x:c r="S63" s="69"/>
      <x:c r="T63" s="69"/>
      <x:c r="U63" s="69"/>
      <x:c r="V63" s="69"/>
      <x:c r="W63" s="69"/>
      <x:c r="X63" s="69"/>
      <x:c r="Y63" s="69"/>
      <x:c r="Z63" s="69"/>
    </x:row>
    <x:row r="64">
      <x:c r="A64" s="199" t="str">
        <x:v>PL-063</x:v>
      </x:c>
      <x:c r="B64" s="199" t="str">
        <x:v>Social</x:v>
      </x:c>
      <x:c r="C64" s="199" t="str">
        <x:v>Meta coletiva</x:v>
      </x:c>
      <x:c r="D64" s="199" t="str">
        <x:v>Meta semanal do grupo e recompensa Pro quando elegível.</x:v>
      </x:c>
      <x:c r="E64" s="199" t="str">
        <x:v>Backend</x:v>
      </x:c>
      <x:c r="F64" s="199" t="str">
        <x:v>Fase A</x:v>
      </x:c>
      <x:c r="G64" s="199" t="str">
        <x:v>S3</x:v>
      </x:c>
      <x:c r="H64" s="199" t="str">
        <x:v>Média</x:v>
      </x:c>
      <x:c r="I64" s="199" t="str">
        <x:v>Backlog</x:v>
      </x:c>
      <x:c r="J64" s="199" t="str">
        <x:v>Gabriel / Samuel</x:v>
      </x:c>
      <x:c r="K64" s="199" t="str">
        <x:v>PL-050, PL-043</x:v>
      </x:c>
      <x:c r="L64" s="200" t="n">
        <x:v>5</x:v>
      </x:c>
      <x:c r="M64" s="199" t="str">
        <x:v>Sim</x:v>
      </x:c>
      <x:c r="N64" s="199" t="str">
        <x:v>Revalidar elegibilidade/recompensa sem verificação telefônica e aprovar regras antes da implementação.</x:v>
      </x:c>
      <x:c r="O64" s="69"/>
      <x:c r="P64" s="69"/>
      <x:c r="Q64" s="69" t="str">
        <x:v>V1 — depende de validação da recompensa sem telefone</x:v>
      </x:c>
      <x:c r="R64" s="69"/>
      <x:c r="S64" s="69"/>
      <x:c r="T64" s="69"/>
      <x:c r="U64" s="69"/>
      <x:c r="V64" s="69"/>
      <x:c r="W64" s="69"/>
      <x:c r="X64" s="69"/>
      <x:c r="Y64" s="69"/>
      <x:c r="Z64" s="69"/>
    </x:row>
    <x:row r="65">
      <x:c r="A65" s="71" t="str">
        <x:v>PL-064</x:v>
      </x:c>
      <x:c r="B65" s="71" t="str">
        <x:v>Social</x:v>
      </x:c>
      <x:c r="C65" s="71" t="str">
        <x:v>Sala do dia</x:v>
      </x:c>
      <x:c r="D65" s="71" t="str">
        <x:v>Sala pública por apelido/tag com filtros e contagem de ativos.</x:v>
      </x:c>
      <x:c r="E65" s="71" t="str">
        <x:v>Backend</x:v>
      </x:c>
      <x:c r="F65" s="71" t="str">
        <x:v>Fase A</x:v>
      </x:c>
      <x:c r="G65" s="71" t="str">
        <x:v>S3</x:v>
      </x:c>
      <x:c r="H65" s="71" t="str">
        <x:v>Baixa</x:v>
      </x:c>
      <x:c r="I65" s="71" t="str">
        <x:v>Reservado — fora do lançamento</x:v>
      </x:c>
      <x:c r="J65" s="71" t="str">
        <x:v>Gabriel / Samuel</x:v>
      </x:c>
      <x:c r="K65" s="71" t="str">
        <x:v>PL-030, PL-018</x:v>
      </x:c>
      <x:c r="L65" s="92" t="n">
        <x:v>8</x:v>
      </x:c>
      <x:c r="M65" s="71" t="str">
        <x:v>Sim</x:v>
      </x:c>
      <x:c r="N65" s="71" t="str">
        <x:v>Item condicional 1.0.x conforme especificação original: não criar Issue ativa nem bloquear lançamento.</x:v>
      </x:c>
      <x:c r="O65" s="69"/>
      <x:c r="P65" s="69"/>
      <x:c r="Q65" s="69" t="str">
        <x:v>1.0.x — CONDICIONAL (fora do lançamento)</x:v>
      </x:c>
      <x:c r="R65" s="69"/>
      <x:c r="S65" s="69"/>
      <x:c r="T65" s="69"/>
      <x:c r="U65" s="69"/>
      <x:c r="V65" s="69"/>
      <x:c r="W65" s="69"/>
      <x:c r="X65" s="69"/>
      <x:c r="Y65" s="69"/>
      <x:c r="Z65" s="69"/>
    </x:row>
    <x:row r="66">
      <x:c r="A66" s="199" t="str">
        <x:v>PL-065</x:v>
      </x:c>
      <x:c r="B66" s="199" t="str">
        <x:v>Notificações</x:v>
      </x:c>
      <x:c r="C66" s="199" t="str">
        <x:v>Push/PWA e regras de envio</x:v>
      </x:c>
      <x:c r="D66" s="199" t="str">
        <x:v>Avisos de timer, revisões, grupos e cobrança com preferências e regra de parada.</x:v>
      </x:c>
      <x:c r="E66" s="199" t="str">
        <x:v>Backend</x:v>
      </x:c>
      <x:c r="F66" s="199" t="str">
        <x:v>Fase A</x:v>
      </x:c>
      <x:c r="G66" s="199" t="str">
        <x:v>S4</x:v>
      </x:c>
      <x:c r="H66" s="199" t="str">
        <x:v>Alta</x:v>
      </x:c>
      <x:c r="I66" s="199" t="str">
        <x:v>Backlog</x:v>
      </x:c>
      <x:c r="J66" s="199" t="str">
        <x:v>Gabriel / Samuel</x:v>
      </x:c>
      <x:c r="K66" s="199" t="str">
        <x:v>PL-009, PL-039</x:v>
      </x:c>
      <x:c r="L66" s="200" t="n">
        <x:v>8</x:v>
      </x:c>
      <x:c r="M66" s="199" t="str">
        <x:v>Sim</x:v>
      </x:c>
      <x:c r="N66" s="199" t="str">
        <x:v>Consentimentos/bases legais conforme canal.</x:v>
      </x:c>
      <x:c r="O66" s="69"/>
      <x:c r="P66" s="69"/>
      <x:c r="Q66" s="69" t="str">
        <x:v>V1 — lançamento</x:v>
      </x:c>
      <x:c r="R66" s="69"/>
      <x:c r="S66" s="69"/>
      <x:c r="T66" s="69"/>
      <x:c r="U66" s="69"/>
      <x:c r="V66" s="69"/>
      <x:c r="W66" s="69"/>
      <x:c r="X66" s="69"/>
      <x:c r="Y66" s="69"/>
      <x:c r="Z66" s="69"/>
    </x:row>
    <x:row r="67">
      <x:c r="A67" s="71" t="str">
        <x:v>PL-066</x:v>
      </x:c>
      <x:c r="B67" s="71" t="str">
        <x:v>Notificações</x:v>
      </x:c>
      <x:c r="C67" s="71" t="str">
        <x:v>UI de preferências</x:v>
      </x:c>
      <x:c r="D67" s="71" t="str">
        <x:v>Configurar notificações permitidas e explicar finalidade.</x:v>
      </x:c>
      <x:c r="E67" s="71" t="str">
        <x:v>Frontend</x:v>
      </x:c>
      <x:c r="F67" s="71" t="str">
        <x:v>Fase A</x:v>
      </x:c>
      <x:c r="G67" s="71" t="str">
        <x:v>S4</x:v>
      </x:c>
      <x:c r="H67" s="71" t="str">
        <x:v>Alta</x:v>
      </x:c>
      <x:c r="I67" s="71" t="str">
        <x:v>Backlog</x:v>
      </x:c>
      <x:c r="J67" s="71" t="str">
        <x:v>Pedro / Miqueias</x:v>
      </x:c>
      <x:c r="K67" s="71" t="str">
        <x:v>PL-065</x:v>
      </x:c>
      <x:c r="L67" s="92" t="n">
        <x:v>3</x:v>
      </x:c>
      <x:c r="M67" s="71" t="str">
        <x:v>Sim</x:v>
      </x:c>
      <x:c r="N67" s="71" t="str"/>
      <x:c r="O67" s="69"/>
      <x:c r="P67" s="69"/>
      <x:c r="Q67" s="69" t="str">
        <x:v>V1 — lançamento</x:v>
      </x:c>
      <x:c r="R67" s="69"/>
      <x:c r="S67" s="69"/>
      <x:c r="T67" s="69"/>
      <x:c r="U67" s="69"/>
      <x:c r="V67" s="69"/>
      <x:c r="W67" s="69"/>
      <x:c r="X67" s="69"/>
      <x:c r="Y67" s="69"/>
      <x:c r="Z67" s="69"/>
    </x:row>
    <x:row r="68">
      <x:c r="A68" s="199" t="str">
        <x:v>PL-067</x:v>
      </x:c>
      <x:c r="B68" s="199" t="str">
        <x:v>Dados pessoais</x:v>
      </x:c>
      <x:c r="C68" s="199" t="str">
        <x:v>Exportação de dados</x:v>
      </x:c>
      <x:c r="D68" s="199" t="str">
        <x:v>Solicitação autenticada, geração segura, expiração de arquivo e auditoria.</x:v>
      </x:c>
      <x:c r="E68" s="199" t="str">
        <x:v>Backend</x:v>
      </x:c>
      <x:c r="F68" s="199" t="str">
        <x:v>Fase A</x:v>
      </x:c>
      <x:c r="G68" s="199" t="str">
        <x:v>S4</x:v>
      </x:c>
      <x:c r="H68" s="199" t="str">
        <x:v>Crítica</x:v>
      </x:c>
      <x:c r="I68" s="199" t="str">
        <x:v>Backlog</x:v>
      </x:c>
      <x:c r="J68" s="199" t="str">
        <x:v>Gabriel / Samuel</x:v>
      </x:c>
      <x:c r="K68" s="199" t="str">
        <x:v>PL-013, PL-012</x:v>
      </x:c>
      <x:c r="L68" s="200" t="n">
        <x:v>8</x:v>
      </x:c>
      <x:c r="M68" s="199" t="str">
        <x:v>Sim</x:v>
      </x:c>
      <x:c r="N68" s="199" t="str">
        <x:v>Direito do titular.</x:v>
      </x:c>
      <x:c r="O68" s="69"/>
      <x:c r="P68" s="69"/>
      <x:c r="Q68" s="69" t="str">
        <x:v>V1 — lançamento</x:v>
      </x:c>
      <x:c r="R68" s="69"/>
      <x:c r="S68" s="69"/>
      <x:c r="T68" s="69"/>
      <x:c r="U68" s="69"/>
      <x:c r="V68" s="69"/>
      <x:c r="W68" s="69"/>
      <x:c r="X68" s="69"/>
      <x:c r="Y68" s="69"/>
      <x:c r="Z68" s="69"/>
    </x:row>
    <x:row r="69">
      <x:c r="A69" s="71" t="str">
        <x:v>PL-068</x:v>
      </x:c>
      <x:c r="B69" s="71" t="str">
        <x:v>Dados pessoais</x:v>
      </x:c>
      <x:c r="C69" s="71" t="str">
        <x:v>Exclusão/anonimização — orquestração</x:v>
      </x:c>
      <x:c r="D69" s="71" t="str">
        <x:v>Fluxo autenticado e auditado para pedido de exclusão; etapas retomáveis por estado, escopo usuário/grupos/ranking, minimização e retenção justificada. Verificações de falha/retomada e restauração em PL-090 e PL-091.</x:v>
      </x:c>
      <x:c r="E69" s="71" t="str">
        <x:v>Backend</x:v>
      </x:c>
      <x:c r="F69" s="71" t="str">
        <x:v>Fase A</x:v>
      </x:c>
      <x:c r="G69" s="71" t="str">
        <x:v>S4</x:v>
      </x:c>
      <x:c r="H69" s="71" t="str">
        <x:v>Crítica</x:v>
      </x:c>
      <x:c r="I69" s="71" t="str">
        <x:v>Backlog</x:v>
      </x:c>
      <x:c r="J69" s="71" t="str">
        <x:v>Gabriel / Samuel</x:v>
      </x:c>
      <x:c r="K69" s="71" t="str">
        <x:v>PL-013, PL-012</x:v>
      </x:c>
      <x:c r="L69" s="92" t="n">
        <x:v>8</x:v>
      </x:c>
      <x:c r="M69" s="71" t="str">
        <x:v>Sim</x:v>
      </x:c>
      <x:c r="N69" s="71" t="str">
        <x:v>Validar retenções legais com jurídico.</x:v>
      </x:c>
      <x:c r="O69" s="69"/>
      <x:c r="P69" s="69"/>
      <x:c r="Q69" s="69" t="str">
        <x:v>V1 — lançamento</x:v>
      </x:c>
      <x:c r="R69" s="69"/>
      <x:c r="S69" s="69"/>
      <x:c r="T69" s="69"/>
      <x:c r="U69" s="69"/>
      <x:c r="V69" s="69"/>
      <x:c r="W69" s="69"/>
      <x:c r="X69" s="69"/>
      <x:c r="Y69" s="69"/>
      <x:c r="Z69" s="69"/>
    </x:row>
    <x:row r="70">
      <x:c r="A70" s="199" t="str">
        <x:v>PL-069</x:v>
      </x:c>
      <x:c r="B70" s="199" t="str">
        <x:v>Dados pessoais</x:v>
      </x:c>
      <x:c r="C70" s="199" t="str">
        <x:v>UI de privacidade, exportação e exclusão</x:v>
      </x:c>
      <x:c r="D70" s="199" t="str">
        <x:v>Confirmações explícitas e mensagens claras, sem indução.</x:v>
      </x:c>
      <x:c r="E70" s="199" t="str">
        <x:v>Frontend</x:v>
      </x:c>
      <x:c r="F70" s="199" t="str">
        <x:v>Fase A</x:v>
      </x:c>
      <x:c r="G70" s="199" t="str">
        <x:v>S4</x:v>
      </x:c>
      <x:c r="H70" s="199" t="str">
        <x:v>Crítica</x:v>
      </x:c>
      <x:c r="I70" s="199" t="str">
        <x:v>Backlog</x:v>
      </x:c>
      <x:c r="J70" s="199" t="str">
        <x:v>Pedro / Miqueias</x:v>
      </x:c>
      <x:c r="K70" s="199" t="str">
        <x:v>PL-067, PL-068</x:v>
      </x:c>
      <x:c r="L70" s="200" t="n">
        <x:v>5</x:v>
      </x:c>
      <x:c r="M70" s="199" t="str">
        <x:v>Sim</x:v>
      </x:c>
      <x:c r="N70" s="199" t="str"/>
      <x:c r="O70" s="69"/>
      <x:c r="P70" s="69"/>
      <x:c r="Q70" s="69" t="str">
        <x:v>V1 — lançamento</x:v>
      </x:c>
      <x:c r="R70" s="69"/>
      <x:c r="S70" s="69"/>
      <x:c r="T70" s="69"/>
      <x:c r="U70" s="69"/>
      <x:c r="V70" s="69"/>
      <x:c r="W70" s="69"/>
      <x:c r="X70" s="69"/>
      <x:c r="Y70" s="69"/>
      <x:c r="Z70" s="69"/>
    </x:row>
    <x:row r="71">
      <x:c r="A71" s="71" t="str">
        <x:v>PL-070</x:v>
      </x:c>
      <x:c r="B71" s="71" t="str">
        <x:v>Curadoria</x:v>
      </x:c>
      <x:c r="C71" s="71" t="str">
        <x:v>Carga em homologação e produção</x:v>
      </x:c>
      <x:c r="D71" s="71" t="str">
        <x:v>Script com validação, aprovação e auditoria; IDs publicados não mudam.</x:v>
      </x:c>
      <x:c r="E71" s="71" t="str">
        <x:v>Curadoria</x:v>
      </x:c>
      <x:c r="F71" s="71" t="str">
        <x:v>Fase A</x:v>
      </x:c>
      <x:c r="G71" s="71" t="str">
        <x:v>S4</x:v>
      </x:c>
      <x:c r="H71" s="71" t="str">
        <x:v>Alta</x:v>
      </x:c>
      <x:c r="I71" s="71" t="str">
        <x:v>Backlog</x:v>
      </x:c>
      <x:c r="J71" s="71" t="str">
        <x:v>Curadoria</x:v>
      </x:c>
      <x:c r="K71" s="71" t="str">
        <x:v>PL-016</x:v>
      </x:c>
      <x:c r="L71" s="92" t="n">
        <x:v>5</x:v>
      </x:c>
      <x:c r="M71" s="71" t="str">
        <x:v>Sim</x:v>
      </x:c>
      <x:c r="N71" s="71" t="str"/>
      <x:c r="O71" s="69"/>
      <x:c r="P71" s="69"/>
      <x:c r="Q71" s="69" t="str">
        <x:v>V1 — lançamento</x:v>
      </x:c>
      <x:c r="R71" s="69"/>
      <x:c r="S71" s="69"/>
      <x:c r="T71" s="69"/>
      <x:c r="U71" s="69"/>
      <x:c r="V71" s="69"/>
      <x:c r="W71" s="69"/>
      <x:c r="X71" s="69"/>
      <x:c r="Y71" s="69"/>
      <x:c r="Z71" s="69"/>
    </x:row>
    <x:row r="72">
      <x:c r="A72" s="199" t="str">
        <x:v>PL-071</x:v>
      </x:c>
      <x:c r="B72" s="199" t="str">
        <x:v>Social</x:v>
      </x:c>
      <x:c r="C72" s="199" t="str">
        <x:v>Cards de compartilhamento</x:v>
      </x:c>
      <x:c r="D72" s="199" t="str">
        <x:v>Stories/quadrado/overlay e link/QR no dispositivo.</x:v>
      </x:c>
      <x:c r="E72" s="199" t="str">
        <x:v>Frontend</x:v>
      </x:c>
      <x:c r="F72" s="199" t="str">
        <x:v>Fase A</x:v>
      </x:c>
      <x:c r="G72" s="199" t="str">
        <x:v>S4</x:v>
      </x:c>
      <x:c r="H72" s="199" t="str">
        <x:v>Baixa</x:v>
      </x:c>
      <x:c r="I72" s="199" t="str">
        <x:v>Reservado — fora do lançamento</x:v>
      </x:c>
      <x:c r="J72" s="199" t="str">
        <x:v>Pedro / Miqueias</x:v>
      </x:c>
      <x:c r="K72" s="199" t="str">
        <x:v>PL-048</x:v>
      </x:c>
      <x:c r="L72" s="200" t="n">
        <x:v>5</x:v>
      </x:c>
      <x:c r="M72" s="199" t="str">
        <x:v>Sim</x:v>
      </x:c>
      <x:c r="N72" s="199" t="str">
        <x:v>Item condicional 1.0.x conforme especificação original: não criar Issue ativa nem bloquear lançamento.</x:v>
      </x:c>
      <x:c r="O72" s="69"/>
      <x:c r="P72" s="69"/>
      <x:c r="Q72" s="69" t="str">
        <x:v>1.0.x — CONDICIONAL (fora do lançamento)</x:v>
      </x:c>
      <x:c r="R72" s="69"/>
      <x:c r="S72" s="69"/>
      <x:c r="T72" s="69"/>
      <x:c r="U72" s="69"/>
      <x:c r="V72" s="69"/>
      <x:c r="W72" s="69"/>
      <x:c r="X72" s="69"/>
      <x:c r="Y72" s="69"/>
      <x:c r="Z72" s="69"/>
    </x:row>
    <x:row r="73">
      <x:c r="A73" s="71" t="str">
        <x:v>PL-072</x:v>
      </x:c>
      <x:c r="B73" s="71" t="str">
        <x:v>Segurança</x:v>
      </x:c>
      <x:c r="C73" s="71" t="str">
        <x:v>Revisão de autorização e isolamento</x:v>
      </x:c>
      <x:c r="D73" s="71" t="str">
        <x:v>Testes contra acesso cruzado, nome real público, escrita server-only, JWT inválido/expirado e autorização de sockets.</x:v>
      </x:c>
      <x:c r="E73" s="71" t="str">
        <x:v>Segurança</x:v>
      </x:c>
      <x:c r="F73" s="71" t="str">
        <x:v>Fase A</x:v>
      </x:c>
      <x:c r="G73" s="71" t="str">
        <x:v>S4</x:v>
      </x:c>
      <x:c r="H73" s="71" t="str">
        <x:v>Crítica</x:v>
      </x:c>
      <x:c r="I73" s="71" t="str">
        <x:v>Backlog</x:v>
      </x:c>
      <x:c r="J73" s="71" t="str">
        <x:v>Gabriel / Samuel</x:v>
      </x:c>
      <x:c r="K73" s="71" t="str">
        <x:v>PL-011, todos</x:v>
      </x:c>
      <x:c r="L73" s="92" t="n">
        <x:v>8</x:v>
      </x:c>
      <x:c r="M73" s="71" t="str">
        <x:v>Sim</x:v>
      </x:c>
      <x:c r="N73" s="71" t="str">
        <x:v>Revisão humana obrigatória.</x:v>
      </x:c>
      <x:c r="O73" s="69"/>
      <x:c r="P73" s="69"/>
      <x:c r="Q73" s="69" t="str">
        <x:v>V1 — lançamento</x:v>
      </x:c>
      <x:c r="R73" s="69"/>
      <x:c r="S73" s="69"/>
      <x:c r="T73" s="69"/>
      <x:c r="U73" s="69"/>
      <x:c r="V73" s="69"/>
      <x:c r="W73" s="69"/>
      <x:c r="X73" s="69"/>
      <x:c r="Y73" s="69"/>
      <x:c r="Z73" s="69"/>
    </x:row>
    <x:row r="74">
      <x:c r="A74" s="199" t="str">
        <x:v>PL-073</x:v>
      </x:c>
      <x:c r="B74" s="199" t="str">
        <x:v>Segurança</x:v>
      </x:c>
      <x:c r="C74" s="199" t="str">
        <x:v>Gestão de incidentes</x:v>
      </x:c>
      <x:c r="D74" s="199" t="str">
        <x:v>Runbook de incidente, responsáveis, evidências e fluxo de notificação/avaliação.</x:v>
      </x:c>
      <x:c r="E74" s="199" t="str">
        <x:v>LGPD/Jurídico</x:v>
      </x:c>
      <x:c r="F74" s="199" t="str">
        <x:v>Transversal</x:v>
      </x:c>
      <x:c r="G74" s="199" t="str">
        <x:v>S4</x:v>
      </x:c>
      <x:c r="H74" s="199" t="str">
        <x:v>Crítica</x:v>
      </x:c>
      <x:c r="I74" s="199" t="str">
        <x:v>Backlog</x:v>
      </x:c>
      <x:c r="J74" s="199" t="str">
        <x:v>Jurídico / DPO</x:v>
      </x:c>
      <x:c r="K74" s="199" t="str">
        <x:v>PL-013, PL-012</x:v>
      </x:c>
      <x:c r="L74" s="200" t="n">
        <x:v>5</x:v>
      </x:c>
      <x:c r="M74" s="199" t="str">
        <x:v>Sim</x:v>
      </x:c>
      <x:c r="N74" s="199" t="str">
        <x:v>Adequar à legislação vigente.</x:v>
      </x:c>
      <x:c r="O74" s="69"/>
      <x:c r="P74" s="69"/>
      <x:c r="Q74" s="69" t="str">
        <x:v>V1 — lançamento</x:v>
      </x:c>
      <x:c r="R74" s="69"/>
      <x:c r="S74" s="69"/>
      <x:c r="T74" s="69"/>
      <x:c r="U74" s="69"/>
      <x:c r="V74" s="69"/>
      <x:c r="W74" s="69"/>
      <x:c r="X74" s="69"/>
      <x:c r="Y74" s="69"/>
      <x:c r="Z74" s="69"/>
    </x:row>
    <x:row r="75">
      <x:c r="A75" s="71" t="str">
        <x:v>PL-074</x:v>
      </x:c>
      <x:c r="B75" s="71" t="str">
        <x:v>Jurídico</x:v>
      </x:c>
      <x:c r="C75" s="71" t="str">
        <x:v>Validar termos e política</x:v>
      </x:c>
      <x:c r="D75" s="71" t="str">
        <x:v>Advogado valida menores, social, ECA Digital, e-mails, cancelamento e privacidade.</x:v>
      </x:c>
      <x:c r="E75" s="71" t="str">
        <x:v>LGPD/Jurídico</x:v>
      </x:c>
      <x:c r="F75" s="71" t="str">
        <x:v>Transversal</x:v>
      </x:c>
      <x:c r="G75" s="71" t="str">
        <x:v>S4</x:v>
      </x:c>
      <x:c r="H75" s="71" t="str">
        <x:v>Crítica</x:v>
      </x:c>
      <x:c r="I75" s="71" t="str">
        <x:v>Backlog</x:v>
      </x:c>
      <x:c r="J75" s="71" t="str">
        <x:v>Jurídico / DPO</x:v>
      </x:c>
      <x:c r="K75" s="71" t="str">
        <x:v>PL-013, PL-014</x:v>
      </x:c>
      <x:c r="L75" s="92" t="n">
        <x:v>5</x:v>
      </x:c>
      <x:c r="M75" s="71" t="str">
        <x:v>Sim</x:v>
      </x:c>
      <x:c r="N75" s="71" t="str">
        <x:v>Obrigatório antes da beta.</x:v>
      </x:c>
      <x:c r="O75" s="69"/>
      <x:c r="P75" s="69"/>
      <x:c r="Q75" s="69" t="str">
        <x:v>V1 — lançamento</x:v>
      </x:c>
      <x:c r="R75" s="69"/>
      <x:c r="S75" s="69"/>
      <x:c r="T75" s="69"/>
      <x:c r="U75" s="69"/>
      <x:c r="V75" s="69"/>
      <x:c r="W75" s="69"/>
      <x:c r="X75" s="69"/>
      <x:c r="Y75" s="69"/>
      <x:c r="Z75" s="69"/>
    </x:row>
    <x:row r="76">
      <x:c r="A76" s="199" t="str">
        <x:v>PL-075</x:v>
      </x:c>
      <x:c r="B76" s="199" t="str">
        <x:v>Fiscal</x:v>
      </x:c>
      <x:c r="C76" s="199" t="str">
        <x:v>Definir emissão de NFS-e</x:v>
      </x:c>
      <x:c r="D76" s="199" t="str">
        <x:v>Fluxo fiscal e integração/processo definidos antes da primeira cobrança.</x:v>
      </x:c>
      <x:c r="E76" s="199" t="str">
        <x:v>Produto</x:v>
      </x:c>
      <x:c r="F76" s="199" t="str">
        <x:v>Transversal</x:v>
      </x:c>
      <x:c r="G76" s="199" t="str">
        <x:v>S4</x:v>
      </x:c>
      <x:c r="H76" s="199" t="str">
        <x:v>Alta</x:v>
      </x:c>
      <x:c r="I76" s="199" t="str">
        <x:v>Backlog</x:v>
      </x:c>
      <x:c r="J76" s="199" t="str">
        <x:v>Contador</x:v>
      </x:c>
      <x:c r="K76" s="199" t="str">
        <x:v>PL-052</x:v>
      </x:c>
      <x:c r="L76" s="200" t="n">
        <x:v>3</x:v>
      </x:c>
      <x:c r="M76" s="199" t="str">
        <x:v>Sim</x:v>
      </x:c>
      <x:c r="N76" s="199" t="str"/>
      <x:c r="O76" s="69"/>
      <x:c r="P76" s="69"/>
      <x:c r="Q76" s="69" t="str">
        <x:v>V1 — lançamento</x:v>
      </x:c>
      <x:c r="R76" s="69"/>
      <x:c r="S76" s="69"/>
      <x:c r="T76" s="69"/>
      <x:c r="U76" s="69"/>
      <x:c r="V76" s="69"/>
      <x:c r="W76" s="69"/>
      <x:c r="X76" s="69"/>
      <x:c r="Y76" s="69"/>
      <x:c r="Z76" s="69"/>
    </x:row>
    <x:row r="77">
      <x:c r="A77" s="71" t="str">
        <x:v>PL-076</x:v>
      </x:c>
      <x:c r="B77" s="71" t="str">
        <x:v>Beta</x:v>
      </x:c>
      <x:c r="C77" s="71" t="str">
        <x:v>E2E cadastro → primeira sessão → trial → revisão</x:v>
      </x:c>
      <x:c r="D77" s="71" t="str">
        <x:v>Fluxo completo passa em homologação com dados fictícios/controle.</x:v>
      </x:c>
      <x:c r="E77" s="71" t="str">
        <x:v>Teste</x:v>
      </x:c>
      <x:c r="F77" s="71" t="str">
        <x:v>Fase A</x:v>
      </x:c>
      <x:c r="G77" s="71" t="str">
        <x:v>Beta</x:v>
      </x:c>
      <x:c r="H77" s="71" t="str">
        <x:v>Crítica</x:v>
      </x:c>
      <x:c r="I77" s="71" t="str">
        <x:v>Backlog</x:v>
      </x:c>
      <x:c r="J77" s="71" t="str">
        <x:v>Gabriel + Samuel + Pedro + Miqueias</x:v>
      </x:c>
      <x:c r="K77" s="71" t="str">
        <x:v>PL-017, PL-021, PL-044, PL-035</x:v>
      </x:c>
      <x:c r="L77" s="92" t="n">
        <x:v>8</x:v>
      </x:c>
      <x:c r="M77" s="71" t="str">
        <x:v>Sim</x:v>
      </x:c>
      <x:c r="N77" s="71" t="str"/>
      <x:c r="O77" s="69"/>
      <x:c r="P77" s="69"/>
      <x:c r="Q77" s="69" t="str">
        <x:v>V1 — lançamento</x:v>
      </x:c>
      <x:c r="R77" s="69"/>
      <x:c r="S77" s="69"/>
      <x:c r="T77" s="69"/>
      <x:c r="U77" s="69"/>
      <x:c r="V77" s="69"/>
      <x:c r="W77" s="69"/>
      <x:c r="X77" s="69"/>
      <x:c r="Y77" s="69"/>
      <x:c r="Z77" s="69"/>
    </x:row>
    <x:row r="78">
      <x:c r="A78" s="199" t="str">
        <x:v>PL-077</x:v>
      </x:c>
      <x:c r="B78" s="199" t="str">
        <x:v>Beta</x:v>
      </x:c>
      <x:c r="C78" s="199" t="str">
        <x:v>E2E convite → grupo → mesa → ranking</x:v>
      </x:c>
      <x:c r="D78" s="199" t="str">
        <x:v>Fluxo social completo com privacidade validada.</x:v>
      </x:c>
      <x:c r="E78" s="199" t="str">
        <x:v>Teste</x:v>
      </x:c>
      <x:c r="F78" s="199" t="str">
        <x:v>Fase A</x:v>
      </x:c>
      <x:c r="G78" s="199" t="str">
        <x:v>Beta</x:v>
      </x:c>
      <x:c r="H78" s="199" t="str">
        <x:v>Crítica</x:v>
      </x:c>
      <x:c r="I78" s="199" t="str">
        <x:v>Backlog</x:v>
      </x:c>
      <x:c r="J78" s="199" t="str">
        <x:v>Gabriel + Samuel + Pedro + Miqueias</x:v>
      </x:c>
      <x:c r="K78" s="199" t="str">
        <x:v>PL-028, PL-030, PL-050</x:v>
      </x:c>
      <x:c r="L78" s="200" t="n">
        <x:v>8</x:v>
      </x:c>
      <x:c r="M78" s="199" t="str">
        <x:v>Sim</x:v>
      </x:c>
      <x:c r="N78" s="199" t="str"/>
      <x:c r="O78" s="69"/>
      <x:c r="P78" s="69"/>
      <x:c r="Q78" s="69" t="str">
        <x:v>V1 — lançamento</x:v>
      </x:c>
      <x:c r="R78" s="69"/>
      <x:c r="S78" s="69"/>
      <x:c r="T78" s="69"/>
      <x:c r="U78" s="69"/>
      <x:c r="V78" s="69"/>
      <x:c r="W78" s="69"/>
      <x:c r="X78" s="69"/>
      <x:c r="Y78" s="69"/>
      <x:c r="Z78" s="69"/>
    </x:row>
    <x:row r="79">
      <x:c r="A79" s="71" t="str">
        <x:v>PL-078</x:v>
      </x:c>
      <x:c r="B79" s="71" t="str">
        <x:v>Beta</x:v>
      </x:c>
      <x:c r="C79" s="71" t="str">
        <x:v>E2E assinatura → webhook → Pro → cancelamento</x:v>
      </x:c>
      <x:c r="D79" s="71" t="str">
        <x:v>Fluxo Mercado Pago sandbox/produção controlada, incluindo duplicidade e ordem.</x:v>
      </x:c>
      <x:c r="E79" s="71" t="str">
        <x:v>Teste</x:v>
      </x:c>
      <x:c r="F79" s="71" t="str">
        <x:v>Fase A</x:v>
      </x:c>
      <x:c r="G79" s="71" t="str">
        <x:v>Beta</x:v>
      </x:c>
      <x:c r="H79" s="71" t="str">
        <x:v>Crítica</x:v>
      </x:c>
      <x:c r="I79" s="71" t="str">
        <x:v>Backlog</x:v>
      </x:c>
      <x:c r="J79" s="71" t="str">
        <x:v>Gabriel + Samuel + Pedro + Miqueias</x:v>
      </x:c>
      <x:c r="K79" s="71" t="str">
        <x:v>PL-054, PL-055, PL-057</x:v>
      </x:c>
      <x:c r="L79" s="92" t="n">
        <x:v>13</x:v>
      </x:c>
      <x:c r="M79" s="71" t="str">
        <x:v>Sim</x:v>
      </x:c>
      <x:c r="N79" s="71" t="str"/>
      <x:c r="O79" s="69"/>
      <x:c r="P79" s="69"/>
      <x:c r="Q79" s="69" t="str">
        <x:v>V1 — lançamento</x:v>
      </x:c>
      <x:c r="R79" s="69"/>
      <x:c r="S79" s="69"/>
      <x:c r="T79" s="69"/>
      <x:c r="U79" s="69"/>
      <x:c r="V79" s="69"/>
      <x:c r="W79" s="69"/>
      <x:c r="X79" s="69"/>
      <x:c r="Y79" s="69"/>
      <x:c r="Z79" s="69"/>
    </x:row>
    <x:row r="80">
      <x:c r="A80" s="199" t="str">
        <x:v>PL-079</x:v>
      </x:c>
      <x:c r="B80" s="199" t="str">
        <x:v>Beta</x:v>
      </x:c>
      <x:c r="C80" s="199" t="str">
        <x:v>Testes em navegadores e aparelhos</x:v>
      </x:c>
      <x:c r="D80" s="199" t="str">
        <x:v>Chrome/Edge/Firefox/Safari; Android e iPhone reais com PWA.</x:v>
      </x:c>
      <x:c r="E80" s="199" t="str">
        <x:v>Teste</x:v>
      </x:c>
      <x:c r="F80" s="199" t="str">
        <x:v>Fase A</x:v>
      </x:c>
      <x:c r="G80" s="199" t="str">
        <x:v>Beta</x:v>
      </x:c>
      <x:c r="H80" s="199" t="str">
        <x:v>Alta</x:v>
      </x:c>
      <x:c r="I80" s="199" t="str">
        <x:v>Backlog</x:v>
      </x:c>
      <x:c r="J80" s="199" t="str">
        <x:v>Gabriel + Samuel + Pedro + Miqueias</x:v>
      </x:c>
      <x:c r="K80" s="199" t="str">
        <x:v>PL-009, telas</x:v>
      </x:c>
      <x:c r="L80" s="200" t="n">
        <x:v>8</x:v>
      </x:c>
      <x:c r="M80" s="199" t="str">
        <x:v>Sim</x:v>
      </x:c>
      <x:c r="N80" s="199" t="str"/>
      <x:c r="O80" s="69"/>
      <x:c r="P80" s="69"/>
      <x:c r="Q80" s="69" t="str">
        <x:v>V1 — lançamento</x:v>
      </x:c>
      <x:c r="R80" s="69"/>
      <x:c r="S80" s="69"/>
      <x:c r="T80" s="69"/>
      <x:c r="U80" s="69"/>
      <x:c r="V80" s="69"/>
      <x:c r="W80" s="69"/>
      <x:c r="X80" s="69"/>
      <x:c r="Y80" s="69"/>
      <x:c r="Z80" s="69"/>
    </x:row>
    <x:row r="81">
      <x:c r="A81" s="71" t="str">
        <x:v>PL-080</x:v>
      </x:c>
      <x:c r="B81" s="71" t="str">
        <x:v>Beta</x:v>
      </x:c>
      <x:c r="C81" s="71" t="str">
        <x:v>Teste de privacidade ofensivo</x:v>
      </x:c>
      <x:c r="D81" s="71" t="str">
        <x:v>Tentar acessar grupo alheio, nome real público, dados de outro aluno e tabelas server-only.</x:v>
      </x:c>
      <x:c r="E81" s="71" t="str">
        <x:v>Segurança</x:v>
      </x:c>
      <x:c r="F81" s="71" t="str">
        <x:v>Fase A</x:v>
      </x:c>
      <x:c r="G81" s="71" t="str">
        <x:v>Beta</x:v>
      </x:c>
      <x:c r="H81" s="71" t="str">
        <x:v>Crítica</x:v>
      </x:c>
      <x:c r="I81" s="71" t="str">
        <x:v>Backlog</x:v>
      </x:c>
      <x:c r="J81" s="71" t="str">
        <x:v>Gabriel / Samuel</x:v>
      </x:c>
      <x:c r="K81" s="71" t="str">
        <x:v>PL-072</x:v>
      </x:c>
      <x:c r="L81" s="92" t="n">
        <x:v>8</x:v>
      </x:c>
      <x:c r="M81" s="71" t="str">
        <x:v>Sim</x:v>
      </x:c>
      <x:c r="N81" s="71" t="str"/>
      <x:c r="O81" s="69"/>
      <x:c r="P81" s="69"/>
      <x:c r="Q81" s="69" t="str">
        <x:v>V1 — lançamento</x:v>
      </x:c>
      <x:c r="R81" s="69"/>
      <x:c r="S81" s="69"/>
      <x:c r="T81" s="69"/>
      <x:c r="U81" s="69"/>
      <x:c r="V81" s="69"/>
      <x:c r="W81" s="69"/>
      <x:c r="X81" s="69"/>
      <x:c r="Y81" s="69"/>
      <x:c r="Z81" s="69"/>
    </x:row>
    <x:row r="82">
      <x:c r="A82" s="199" t="str">
        <x:v>PL-081</x:v>
      </x:c>
      <x:c r="B82" s="199" t="str">
        <x:v>Beta</x:v>
      </x:c>
      <x:c r="C82" s="199" t="str">
        <x:v>Teste de carga inicial</x:v>
      </x:c>
      <x:c r="D82" s="199" t="str">
        <x:v>Medir backend Node/Express (local no inicio e Render de producao na homologacao), PostgreSQL Supabase, JWT e canais privados Realtime; meta de carga a validar, métricas CPU/RAM/latência/erros; sem pressupor usuarios por CPU.</x:v>
      </x:c>
      <x:c r="E82" s="199" t="str">
        <x:v>Teste</x:v>
      </x:c>
      <x:c r="F82" s="199" t="str">
        <x:v>Fase A</x:v>
      </x:c>
      <x:c r="G82" s="199" t="str">
        <x:v>Beta</x:v>
      </x:c>
      <x:c r="H82" s="199" t="str">
        <x:v>Alta</x:v>
      </x:c>
      <x:c r="I82" s="199" t="str">
        <x:v>Backlog</x:v>
      </x:c>
      <x:c r="J82" s="199" t="str">
        <x:v>Gabriel / Samuel</x:v>
      </x:c>
      <x:c r="K82" s="199" t="str">
        <x:v>PL-072</x:v>
      </x:c>
      <x:c r="L82" s="200" t="n">
        <x:v>5</x:v>
      </x:c>
      <x:c r="M82" s="199" t="str">
        <x:v>Sim</x:v>
      </x:c>
      <x:c r="N82" s="199" t="str"/>
      <x:c r="O82" s="69"/>
      <x:c r="P82" s="69"/>
      <x:c r="Q82" s="69" t="str">
        <x:v>V1 — lançamento</x:v>
      </x:c>
      <x:c r="R82" s="69"/>
      <x:c r="S82" s="69"/>
      <x:c r="T82" s="69"/>
      <x:c r="U82" s="69"/>
      <x:c r="V82" s="69"/>
      <x:c r="W82" s="69"/>
      <x:c r="X82" s="69"/>
      <x:c r="Y82" s="69"/>
      <x:c r="Z82" s="69"/>
    </x:row>
    <x:row r="83">
      <x:c r="A83" s="71" t="str">
        <x:v>PL-082</x:v>
      </x:c>
      <x:c r="B83" s="71" t="str">
        <x:v>Estabilização</x:v>
      </x:c>
      <x:c r="C83" s="71" t="str">
        <x:v>Correções e code freeze</x:v>
      </x:c>
      <x:c r="D83" s="71" t="str">
        <x:v>Sem features novas; somente correções, segurança, performance e bloqueadores.</x:v>
      </x:c>
      <x:c r="E83" s="71" t="str">
        <x:v>Produto</x:v>
      </x:c>
      <x:c r="F83" s="71" t="str">
        <x:v>Fase A</x:v>
      </x:c>
      <x:c r="G83" s="71" t="str">
        <x:v>Estabilização</x:v>
      </x:c>
      <x:c r="H83" s="71" t="str">
        <x:v>Crítica</x:v>
      </x:c>
      <x:c r="I83" s="71" t="str">
        <x:v>Backlog</x:v>
      </x:c>
      <x:c r="J83" s="71" t="str">
        <x:v>Gabriel + Samuel + Pedro + Miqueias</x:v>
      </x:c>
      <x:c r="K83" s="71" t="str">
        <x:v>Beta concluída</x:v>
      </x:c>
      <x:c r="L83" s="92" t="n">
        <x:v>8</x:v>
      </x:c>
      <x:c r="M83" s="71" t="str">
        <x:v>Sim</x:v>
      </x:c>
      <x:c r="N83" s="71" t="str"/>
      <x:c r="O83" s="69"/>
      <x:c r="P83" s="69"/>
      <x:c r="Q83" s="69" t="str">
        <x:v>V1 — lançamento</x:v>
      </x:c>
      <x:c r="R83" s="69"/>
      <x:c r="S83" s="69"/>
      <x:c r="T83" s="69"/>
      <x:c r="U83" s="69"/>
      <x:c r="V83" s="69"/>
      <x:c r="W83" s="69"/>
      <x:c r="X83" s="69"/>
      <x:c r="Y83" s="69"/>
      <x:c r="Z83" s="69"/>
    </x:row>
    <x:row r="84">
      <x:c r="A84" s="199" t="str">
        <x:v>PL-083</x:v>
      </x:c>
      <x:c r="B84" s="199" t="str">
        <x:v>Estabilização</x:v>
      </x:c>
      <x:c r="C84" s="199" t="str">
        <x:v>Checklist de produção</x:v>
      </x:c>
      <x:c r="D84" s="199" t="str">
        <x:v>Backups, secrets, alertas, domínio, HTTPS, migrations, rollback e contatos de incidente.</x:v>
      </x:c>
      <x:c r="E84" s="199" t="str">
        <x:v>Infra</x:v>
      </x:c>
      <x:c r="F84" s="199" t="str">
        <x:v>Fase A</x:v>
      </x:c>
      <x:c r="G84" s="199" t="str">
        <x:v>Estabilização</x:v>
      </x:c>
      <x:c r="H84" s="199" t="str">
        <x:v>Crítica</x:v>
      </x:c>
      <x:c r="I84" s="199" t="str">
        <x:v>Backlog</x:v>
      </x:c>
      <x:c r="J84" s="199" t="str">
        <x:v>Gabriel / Samuel</x:v>
      </x:c>
      <x:c r="K84" s="199" t="str">
        <x:v>PL-082</x:v>
      </x:c>
      <x:c r="L84" s="200" t="n">
        <x:v>5</x:v>
      </x:c>
      <x:c r="M84" s="199" t="str">
        <x:v>Sim</x:v>
      </x:c>
      <x:c r="N84" s="199" t="str"/>
      <x:c r="O84" s="69"/>
      <x:c r="P84" s="69"/>
      <x:c r="Q84" s="69" t="str">
        <x:v>V1 — lançamento</x:v>
      </x:c>
      <x:c r="R84" s="69"/>
      <x:c r="S84" s="69"/>
      <x:c r="T84" s="69"/>
      <x:c r="U84" s="69"/>
      <x:c r="V84" s="69"/>
      <x:c r="W84" s="69"/>
      <x:c r="X84" s="69"/>
      <x:c r="Y84" s="69"/>
      <x:c r="Z84" s="69"/>
    </x:row>
    <x:row r="85">
      <x:c r="A85" s="71" t="str">
        <x:v>PL-084</x:v>
      </x:c>
      <x:c r="B85" s="71" t="str">
        <x:v>Administração</x:v>
      </x:c>
      <x:c r="C85" s="71" t="str">
        <x:v>Papéis e concessão segura de admin</x:v>
      </x:c>
      <x:c r="D85" s="71" t="str">
        <x:v>Backend: RBAC aluno, administrador, superadministrador; promoção/revogação exclusivas do superadmin autorizado, proibir autoelevação, manter bootstrap seguro e auditoria.</x:v>
      </x:c>
      <x:c r="E85" s="71" t="str">
        <x:v>Backend</x:v>
      </x:c>
      <x:c r="F85" s="71" t="str">
        <x:v>Fundação</x:v>
      </x:c>
      <x:c r="G85" s="71" t="str">
        <x:v>S1</x:v>
      </x:c>
      <x:c r="H85" s="71" t="str">
        <x:v>Crítica</x:v>
      </x:c>
      <x:c r="I85" s="71" t="str">
        <x:v>Backlog</x:v>
      </x:c>
      <x:c r="J85" s="71" t="str">
        <x:v>Gabriel / Samuel</x:v>
      </x:c>
      <x:c r="K85" s="71" t="str">
        <x:v>PL-007, PL-010, PL-011</x:v>
      </x:c>
      <x:c r="L85" s="92" t="n">
        <x:v>8</x:v>
      </x:c>
      <x:c r="M85" s="71" t="str">
        <x:v>Sim</x:v>
      </x:c>
      <x:c r="N85" s="71" t="str">
        <x:v>Nova tarefa após auditoria V1.</x:v>
      </x:c>
      <x:c r="O85" s="69"/>
      <x:c r="P85" s="69"/>
      <x:c r="Q85" s="69" t="str">
        <x:v>V1 — lançamento</x:v>
      </x:c>
      <x:c r="R85" s="69"/>
      <x:c r="S85" s="69"/>
      <x:c r="T85" s="69"/>
      <x:c r="U85" s="69"/>
      <x:c r="V85" s="69"/>
      <x:c r="W85" s="69"/>
      <x:c r="X85" s="69"/>
      <x:c r="Y85" s="69"/>
      <x:c r="Z85" s="69"/>
    </x:row>
    <x:row r="86">
      <x:c r="A86" s="185" t="str">
        <x:v>PL-085</x:v>
      </x:c>
      <x:c r="B86" s="185" t="str">
        <x:v>Administração</x:v>
      </x:c>
      <x:c r="C86" s="185" t="str">
        <x:v>Rotas administrativas com escopo mínimo</x:v>
      </x:c>
      <x:c r="D86" s="185" t="str">
        <x:v>Backend: endpoints de administração de usuários, catálogo, configurações e operações Pro permitidas, sem acesso irrestrito a dados privados; trilha de auditoria, verificação de privilégio por ação.</x:v>
      </x:c>
      <x:c r="E86" s="185" t="str">
        <x:v>Backend</x:v>
      </x:c>
      <x:c r="F86" s="185" t="str">
        <x:v>Fase A</x:v>
      </x:c>
      <x:c r="G86" s="185" t="str">
        <x:v>S2</x:v>
      </x:c>
      <x:c r="H86" s="185" t="str">
        <x:v>Alta</x:v>
      </x:c>
      <x:c r="I86" s="185" t="str">
        <x:v>Backlog</x:v>
      </x:c>
      <x:c r="J86" s="185" t="str">
        <x:v>Gabriel / Samuel</x:v>
      </x:c>
      <x:c r="K86" s="185" t="str">
        <x:v>PL-084, PL-018</x:v>
      </x:c>
      <x:c r="L86" s="186" t="n">
        <x:v>8</x:v>
      </x:c>
      <x:c r="M86" s="185" t="str">
        <x:v>Sim</x:v>
      </x:c>
      <x:c r="N86" s="185" t="str">
        <x:v>Separar permissão de produto e acesso Render/Supabase.</x:v>
      </x:c>
      <x:c r="O86" s="69"/>
      <x:c r="P86" s="69"/>
      <x:c r="Q86" s="69" t="str">
        <x:v>V1 — lançamento</x:v>
      </x:c>
      <x:c r="R86" s="69"/>
      <x:c r="S86" s="69"/>
      <x:c r="T86" s="69"/>
      <x:c r="U86" s="69"/>
      <x:c r="V86" s="69"/>
      <x:c r="W86" s="69"/>
      <x:c r="X86" s="69"/>
      <x:c r="Y86" s="69"/>
      <x:c r="Z86" s="69"/>
    </x:row>
    <x:row r="87">
      <x:c r="A87" s="71" t="str">
        <x:v>PL-086</x:v>
      </x:c>
      <x:c r="B87" s="71" t="str">
        <x:v>Administração</x:v>
      </x:c>
      <x:c r="C87" s="71" t="str">
        <x:v>Painel administrativo mínimo</x:v>
      </x:c>
      <x:c r="D87" s="71" t="str">
        <x:v>React: painel único com visibilidade conforme papéis, gestão operacional autorizada, acesso negado, feedback e sessão expirada; não confiar em botões ocultos.</x:v>
      </x:c>
      <x:c r="E87" s="71" t="str">
        <x:v>Frontend</x:v>
      </x:c>
      <x:c r="F87" s="71" t="str">
        <x:v>Fase A</x:v>
      </x:c>
      <x:c r="G87" s="71" t="str">
        <x:v>S2</x:v>
      </x:c>
      <x:c r="H87" s="71" t="str">
        <x:v>Alta</x:v>
      </x:c>
      <x:c r="I87" s="71" t="str">
        <x:v>Backlog</x:v>
      </x:c>
      <x:c r="J87" s="71" t="str">
        <x:v>Pedro / Miqueias</x:v>
      </x:c>
      <x:c r="K87" s="71" t="str">
        <x:v>PL-085, PL-008</x:v>
      </x:c>
      <x:c r="L87" s="92" t="n">
        <x:v>8</x:v>
      </x:c>
      <x:c r="M87" s="71" t="str">
        <x:v>Sim</x:v>
      </x:c>
      <x:c r="N87" s="71" t="str">
        <x:v>Sem CMS amplo.</x:v>
      </x:c>
      <x:c r="O87" s="69"/>
      <x:c r="P87" s="69"/>
      <x:c r="Q87" s="69" t="str">
        <x:v>V1 — lançamento</x:v>
      </x:c>
      <x:c r="R87" s="69"/>
      <x:c r="S87" s="69"/>
      <x:c r="T87" s="69"/>
      <x:c r="U87" s="69"/>
      <x:c r="V87" s="69"/>
      <x:c r="W87" s="69"/>
      <x:c r="X87" s="69"/>
      <x:c r="Y87" s="69"/>
      <x:c r="Z87" s="69"/>
    </x:row>
    <x:row r="88">
      <x:c r="A88" s="185" t="str">
        <x:v>PL-087</x:v>
      </x:c>
      <x:c r="B88" s="185" t="str">
        <x:v>Segurança</x:v>
      </x:c>
      <x:c r="C88" s="185" t="str">
        <x:v>Teste de papéis e abuso de cadastro</x:v>
      </x:c>
      <x:c r="D88" s="185" t="str">
        <x:v>Testar promoção indevida, admin tentando gerenciar superadmin, acesso cruzado, cadastro ofensivo PT/EN, falso positivo, Turnstile inválido, e-mail não confirmado, limites e proteção de menores.</x:v>
      </x:c>
      <x:c r="E88" s="185" t="str">
        <x:v>Segurança</x:v>
      </x:c>
      <x:c r="F88" s="185" t="str">
        <x:v>Fase A</x:v>
      </x:c>
      <x:c r="G88" s="185" t="str">
        <x:v>Beta</x:v>
      </x:c>
      <x:c r="H88" s="185" t="str">
        <x:v>Crítica</x:v>
      </x:c>
      <x:c r="I88" s="185" t="str">
        <x:v>Backlog</x:v>
      </x:c>
      <x:c r="J88" s="185" t="str">
        <x:v>Gabriel / Samuel</x:v>
      </x:c>
      <x:c r="K88" s="185" t="str">
        <x:v>PL-033, PL-084, PL-085, PL-086</x:v>
      </x:c>
      <x:c r="L88" s="186" t="n">
        <x:v>8</x:v>
      </x:c>
      <x:c r="M88" s="185" t="str">
        <x:v>Sim</x:v>
      </x:c>
      <x:c r="N88" s="185" t="str">
        <x:v>Cenários negativos obrigatórios.</x:v>
      </x:c>
      <x:c r="O88" s="69"/>
      <x:c r="P88" s="69"/>
      <x:c r="Q88" s="69" t="str">
        <x:v>V1 — lançamento</x:v>
      </x:c>
      <x:c r="R88" s="69"/>
      <x:c r="S88" s="69"/>
      <x:c r="T88" s="69"/>
      <x:c r="U88" s="69"/>
      <x:c r="V88" s="69"/>
      <x:c r="W88" s="69"/>
      <x:c r="X88" s="69"/>
      <x:c r="Y88" s="69"/>
      <x:c r="Z88" s="69"/>
    </x:row>
    <x:row r="89">
      <x:c r="A89" s="71" t="str">
        <x:v>PL-088</x:v>
      </x:c>
      <x:c r="B89" s="71" t="str">
        <x:v>Revisões</x:v>
      </x:c>
      <x:c r="C89" s="71" t="str">
        <x:v>Testes avançados de prioridade e reprocessamento</x:v>
      </x:c>
      <x:c r="D89" s="71" t="str">
        <x:v>Revisões: casos de fronteira, configuração, atraso, reexecução segura e não duplicidade; integração com agendamento/redistribuição.</x:v>
      </x:c>
      <x:c r="E89" s="71" t="str">
        <x:v>Teste</x:v>
      </x:c>
      <x:c r="F89" s="71" t="str">
        <x:v>Fase A</x:v>
      </x:c>
      <x:c r="G89" s="71" t="str">
        <x:v>S2</x:v>
      </x:c>
      <x:c r="H89" s="71" t="str">
        <x:v>Alta</x:v>
      </x:c>
      <x:c r="I89" s="71" t="str">
        <x:v>Backlog</x:v>
      </x:c>
      <x:c r="J89" s="71" t="str">
        <x:v>Gabriel / Samuel</x:v>
      </x:c>
      <x:c r="K89" s="71" t="str">
        <x:v>PL-038, PL-037</x:v>
      </x:c>
      <x:c r="L89" s="92" t="n">
        <x:v>5</x:v>
      </x:c>
      <x:c r="M89" s="71" t="str">
        <x:v>Sim</x:v>
      </x:c>
      <x:c r="N89" s="71" t="str">
        <x:v>Desmembramento PL-038.</x:v>
      </x:c>
      <x:c r="O89" s="69"/>
      <x:c r="P89" s="69"/>
      <x:c r="Q89" s="69" t="str">
        <x:v>V1 — lançamento</x:v>
      </x:c>
      <x:c r="R89" s="69"/>
      <x:c r="S89" s="69"/>
      <x:c r="T89" s="69"/>
      <x:c r="U89" s="69"/>
      <x:c r="V89" s="69"/>
      <x:c r="W89" s="69"/>
      <x:c r="X89" s="69"/>
      <x:c r="Y89" s="69"/>
      <x:c r="Z89" s="69"/>
    </x:row>
    <x:row r="90">
      <x:c r="A90" s="185" t="str">
        <x:v>PL-089</x:v>
      </x:c>
      <x:c r="B90" s="185" t="str">
        <x:v>Pagamentos</x:v>
      </x:c>
      <x:c r="C90" s="185" t="str">
        <x:v>Webhook: eventos fora de ordem e concorrência</x:v>
      </x:c>
      <x:c r="D90" s="185" t="str">
        <x:v>Testar estados de assinatura, webhook fora de ordem, retries e falhas parciais; controle transacional e nenhuma concessão Pro sem validação.</x:v>
      </x:c>
      <x:c r="E90" s="185" t="str">
        <x:v>Backend</x:v>
      </x:c>
      <x:c r="F90" s="185" t="str">
        <x:v>Fase A</x:v>
      </x:c>
      <x:c r="G90" s="185" t="str">
        <x:v>S3</x:v>
      </x:c>
      <x:c r="H90" s="185" t="str">
        <x:v>Crítica</x:v>
      </x:c>
      <x:c r="I90" s="185" t="str">
        <x:v>Backlog</x:v>
      </x:c>
      <x:c r="J90" s="185" t="str">
        <x:v>Gabriel / Samuel</x:v>
      </x:c>
      <x:c r="K90" s="185" t="str">
        <x:v>PL-055, PL-056</x:v>
      </x:c>
      <x:c r="L90" s="186" t="n">
        <x:v>5</x:v>
      </x:c>
      <x:c r="M90" s="185" t="str">
        <x:v>Sim</x:v>
      </x:c>
      <x:c r="N90" s="185" t="str">
        <x:v>Desmembramento PL-055.</x:v>
      </x:c>
      <x:c r="O90" s="69"/>
      <x:c r="P90" s="69"/>
      <x:c r="Q90" s="69" t="str">
        <x:v>V1 — lançamento</x:v>
      </x:c>
      <x:c r="R90" s="69"/>
      <x:c r="S90" s="69"/>
      <x:c r="T90" s="69"/>
      <x:c r="U90" s="69"/>
      <x:c r="V90" s="69"/>
      <x:c r="W90" s="69"/>
      <x:c r="X90" s="69"/>
      <x:c r="Y90" s="69"/>
      <x:c r="Z90" s="69"/>
    </x:row>
    <x:row r="91">
      <x:c r="A91" s="71" t="str">
        <x:v>PL-090</x:v>
      </x:c>
      <x:c r="B91" s="71" t="str">
        <x:v>Dados pessoais</x:v>
      </x:c>
      <x:c r="C91" s="71" t="str">
        <x:v>Exclusão: etapas e escopo social</x:v>
      </x:c>
      <x:c r="D91" s="71" t="str">
        <x:v>Testar eliminação/anonimização e desvinculação de grupos/ranking/mural por etapas, considerando retenção legal e falhas intermediárias.</x:v>
      </x:c>
      <x:c r="E91" s="71" t="str">
        <x:v>Backend</x:v>
      </x:c>
      <x:c r="F91" s="71" t="str">
        <x:v>Fase A</x:v>
      </x:c>
      <x:c r="G91" s="71" t="str">
        <x:v>S4</x:v>
      </x:c>
      <x:c r="H91" s="71" t="str">
        <x:v>Crítica</x:v>
      </x:c>
      <x:c r="I91" s="71" t="str">
        <x:v>Backlog</x:v>
      </x:c>
      <x:c r="J91" s="71" t="str">
        <x:v>Gabriel / Samuel</x:v>
      </x:c>
      <x:c r="K91" s="71" t="str">
        <x:v>PL-068</x:v>
      </x:c>
      <x:c r="L91" s="92" t="n">
        <x:v>5</x:v>
      </x:c>
      <x:c r="M91" s="71" t="str">
        <x:v>Sim</x:v>
      </x:c>
      <x:c r="N91" s="71" t="str">
        <x:v>Desmembramento PL-068.</x:v>
      </x:c>
      <x:c r="O91" s="69"/>
      <x:c r="P91" s="69"/>
      <x:c r="Q91" s="69" t="str">
        <x:v>V1 — lançamento</x:v>
      </x:c>
      <x:c r="R91" s="69"/>
      <x:c r="S91" s="69"/>
      <x:c r="T91" s="69"/>
      <x:c r="U91" s="69"/>
      <x:c r="V91" s="69"/>
      <x:c r="W91" s="69"/>
      <x:c r="X91" s="69"/>
      <x:c r="Y91" s="69"/>
      <x:c r="Z91" s="69"/>
    </x:row>
    <x:row r="92">
      <x:c r="A92" s="185" t="str">
        <x:v>PL-091</x:v>
      </x:c>
      <x:c r="B92" s="185" t="str">
        <x:v>Dados pessoais</x:v>
      </x:c>
      <x:c r="C92" s="185" t="str">
        <x:v>Exclusão: retomada e restauração segura</x:v>
      </x:c>
      <x:c r="D92" s="185" t="str">
        <x:v>Testes da retomada pós-falha, política de backups, auditabilidade e consistência entre Supabase Auth e dados do produto.</x:v>
      </x:c>
      <x:c r="E92" s="185" t="str">
        <x:v>Teste</x:v>
      </x:c>
      <x:c r="F92" s="185" t="str">
        <x:v>Fase A</x:v>
      </x:c>
      <x:c r="G92" s="185" t="str">
        <x:v>S4</x:v>
      </x:c>
      <x:c r="H92" s="185" t="str">
        <x:v>Crítica</x:v>
      </x:c>
      <x:c r="I92" s="185" t="str">
        <x:v>Backlog</x:v>
      </x:c>
      <x:c r="J92" s="185" t="str">
        <x:v>Gabriel / Samuel</x:v>
      </x:c>
      <x:c r="K92" s="185" t="str">
        <x:v>PL-090, PL-068</x:v>
      </x:c>
      <x:c r="L92" s="186" t="n">
        <x:v>5</x:v>
      </x:c>
      <x:c r="M92" s="185" t="str">
        <x:v>Sim</x:v>
      </x:c>
      <x:c r="N92" s="185" t="str">
        <x:v>Desmembramento PL-068.</x:v>
      </x:c>
      <x:c r="O92" s="69"/>
      <x:c r="P92" s="69"/>
      <x:c r="Q92" s="69" t="str">
        <x:v>V1 — lançamento</x:v>
      </x:c>
      <x:c r="R92" s="69"/>
      <x:c r="S92" s="69"/>
      <x:c r="T92" s="69"/>
      <x:c r="U92" s="69"/>
      <x:c r="V92" s="69"/>
      <x:c r="W92" s="69"/>
      <x:c r="X92" s="69"/>
      <x:c r="Y92" s="69"/>
      <x:c r="Z92" s="69"/>
    </x:row>
    <x:row r="93" ht="45" customHeight="1">
      <x:c r="A93" s="71" t="str">
        <x:v>PL-092</x:v>
      </x:c>
      <x:c r="B93" s="71" t="str">
        <x:v>Prototipacao</x:v>
      </x:c>
      <x:c r="C93" s="71" t="str">
        <x:v>Mapa de navegacao V1</x:v>
      </x:c>
      <x:c r="D93" s="71" t="str">
        <x:v>Fluxos Aluno/Admin/Superadmin e estado Free/Pro mapeados; revisao tecnica.</x:v>
      </x:c>
      <x:c r="E93" s="71" t="str">
        <x:v>Design</x:v>
      </x:c>
      <x:c r="F93" s="71" t="str">
        <x:v>Prototipacao</x:v>
      </x:c>
      <x:c r="G93" s="71" t="str">
        <x:v>F0</x:v>
      </x:c>
      <x:c r="H93" s="71" t="str">
        <x:v>Critica</x:v>
      </x:c>
      <x:c r="I93" s="71" t="str">
        <x:v>Backlog</x:v>
      </x:c>
      <x:c r="J93" s="71" t="str">
        <x:v>Pedro / Miqueias</x:v>
      </x:c>
      <x:c r="K93" s="71" t="str">
        <x:v>-</x:v>
      </x:c>
      <x:c r="L93" s="92" t="n">
        <x:v>3</x:v>
      </x:c>
      <x:c r="M93" s="71"/>
      <x:c r="N93" s="71"/>
      <x:c r="O93" s="69"/>
      <x:c r="P93" s="69"/>
      <x:c r="Q93" s="69" t="str">
        <x:v>V1 — lançamento</x:v>
      </x:c>
      <x:c r="R93" s="69"/>
      <x:c r="S93" s="69"/>
      <x:c r="T93" s="69"/>
      <x:c r="U93" s="69"/>
      <x:c r="V93" s="69"/>
      <x:c r="W93" s="69"/>
      <x:c r="X93" s="69"/>
      <x:c r="Y93" s="69"/>
      <x:c r="Z93" s="69"/>
    </x:row>
    <x:row r="94" ht="45" customHeight="1">
      <x:c r="A94" s="185" t="str">
        <x:v>PL-093</x:v>
      </x:c>
      <x:c r="B94" s="185" t="str">
        <x:v>Prototipacao</x:v>
      </x:c>
      <x:c r="C94" s="185" t="str">
        <x:v>Wireframes de interfaces</x:v>
      </x:c>
      <x:c r="D94" s="185" t="str">
        <x:v>Wireframes desktop/mobile para jornadas criticas; sem codigo de produto.</x:v>
      </x:c>
      <x:c r="E94" s="185" t="str">
        <x:v>Design</x:v>
      </x:c>
      <x:c r="F94" s="185" t="str">
        <x:v>Prototipacao</x:v>
      </x:c>
      <x:c r="G94" s="185" t="str">
        <x:v>F0</x:v>
      </x:c>
      <x:c r="H94" s="185" t="str">
        <x:v>Critica</x:v>
      </x:c>
      <x:c r="I94" s="185" t="str">
        <x:v>Backlog</x:v>
      </x:c>
      <x:c r="J94" s="185" t="str">
        <x:v>Pedro / Miqueias</x:v>
      </x:c>
      <x:c r="K94" s="185" t="str">
        <x:v>PL-092</x:v>
      </x:c>
      <x:c r="L94" s="186" t="n">
        <x:v>5</x:v>
      </x:c>
      <x:c r="M94" s="185"/>
      <x:c r="N94" s="185"/>
      <x:c r="O94" s="69"/>
      <x:c r="P94" s="69"/>
      <x:c r="Q94" s="69" t="str">
        <x:v>V1 — lançamento</x:v>
      </x:c>
      <x:c r="R94" s="69"/>
      <x:c r="S94" s="69"/>
      <x:c r="T94" s="69"/>
      <x:c r="U94" s="69"/>
      <x:c r="V94" s="69"/>
      <x:c r="W94" s="69"/>
      <x:c r="X94" s="69"/>
      <x:c r="Y94" s="69"/>
      <x:c r="Z94" s="69"/>
    </x:row>
    <x:row r="95" ht="45" customHeight="1">
      <x:c r="A95" s="71" t="str">
        <x:v>PL-094</x:v>
      </x:c>
      <x:c r="B95" s="71" t="str">
        <x:v>Prototipacao</x:v>
      </x:c>
      <x:c r="C95" s="71" t="str">
        <x:v>Sistema visual e componentes</x:v>
      </x:c>
      <x:c r="D95" s="71" t="str">
        <x:v>Navegacao, formularios, cards, tabelas, modais, estados e design responsivo.</x:v>
      </x:c>
      <x:c r="E95" s="71" t="str">
        <x:v>Design</x:v>
      </x:c>
      <x:c r="F95" s="71" t="str">
        <x:v>Prototipacao</x:v>
      </x:c>
      <x:c r="G95" s="71" t="str">
        <x:v>F0</x:v>
      </x:c>
      <x:c r="H95" s="71" t="str">
        <x:v>Alta</x:v>
      </x:c>
      <x:c r="I95" s="71" t="str">
        <x:v>Backlog</x:v>
      </x:c>
      <x:c r="J95" s="71" t="str">
        <x:v>Pedro / Miqueias</x:v>
      </x:c>
      <x:c r="K95" s="71" t="str">
        <x:v>PL-093</x:v>
      </x:c>
      <x:c r="L95" s="92" t="n">
        <x:v>5</x:v>
      </x:c>
      <x:c r="M95" s="71"/>
      <x:c r="N95" s="71"/>
      <x:c r="O95" s="69"/>
      <x:c r="P95" s="69"/>
      <x:c r="Q95" s="69" t="str">
        <x:v>V1 — lançamento</x:v>
      </x:c>
      <x:c r="R95" s="69"/>
      <x:c r="S95" s="69"/>
      <x:c r="T95" s="69"/>
      <x:c r="U95" s="69"/>
      <x:c r="V95" s="69"/>
      <x:c r="W95" s="69"/>
      <x:c r="X95" s="69"/>
      <x:c r="Y95" s="69"/>
      <x:c r="Z95" s="69"/>
    </x:row>
    <x:row r="96" ht="45" customHeight="1">
      <x:c r="A96" s="185" t="str">
        <x:v>PL-095</x:v>
      </x:c>
      <x:c r="B96" s="185" t="str">
        <x:v>Prototipacao</x:v>
      </x:c>
      <x:c r="C96" s="185" t="str">
        <x:v>Telas do aluno e assinatura</x:v>
      </x:c>
      <x:c r="D96" s="185" t="str">
        <x:v>Hoje, estudar, timer, revisoes, social, relatorios, Pro e privacidade; estados incluidos.</x:v>
      </x:c>
      <x:c r="E96" s="185" t="str">
        <x:v>Design</x:v>
      </x:c>
      <x:c r="F96" s="185" t="str">
        <x:v>Prototipacao</x:v>
      </x:c>
      <x:c r="G96" s="185" t="str">
        <x:v>F0</x:v>
      </x:c>
      <x:c r="H96" s="185" t="str">
        <x:v>Critica</x:v>
      </x:c>
      <x:c r="I96" s="185" t="str">
        <x:v>Backlog</x:v>
      </x:c>
      <x:c r="J96" s="185" t="str">
        <x:v>Pedro / Miqueias</x:v>
      </x:c>
      <x:c r="K96" s="185" t="str">
        <x:v>PL-094</x:v>
      </x:c>
      <x:c r="L96" s="186" t="n">
        <x:v>8</x:v>
      </x:c>
      <x:c r="M96" s="185"/>
      <x:c r="N96" s="185"/>
      <x:c r="O96" s="69"/>
      <x:c r="P96" s="69"/>
      <x:c r="Q96" s="69" t="str">
        <x:v>V1 — lançamento</x:v>
      </x:c>
      <x:c r="R96" s="69"/>
      <x:c r="S96" s="69"/>
      <x:c r="T96" s="69"/>
      <x:c r="U96" s="69"/>
      <x:c r="V96" s="69"/>
      <x:c r="W96" s="69"/>
      <x:c r="X96" s="69"/>
      <x:c r="Y96" s="69"/>
      <x:c r="Z96" s="69"/>
    </x:row>
    <x:row r="97" ht="45" customHeight="1">
      <x:c r="A97" s="71" t="str">
        <x:v>PL-096</x:v>
      </x:c>
      <x:c r="B97" s="71" t="str">
        <x:v>Prototipacao</x:v>
      </x:c>
      <x:c r="C97" s="71" t="str">
        <x:v>Telas administracao e superadmin</x:v>
      </x:c>
      <x:c r="D97" s="71" t="str">
        <x:v>Operacao, catalogo, moderacao, auditoria, gestao de admins e acessos coerentes.</x:v>
      </x:c>
      <x:c r="E97" s="71" t="str">
        <x:v>Design</x:v>
      </x:c>
      <x:c r="F97" s="71" t="str">
        <x:v>Prototipacao</x:v>
      </x:c>
      <x:c r="G97" s="71" t="str">
        <x:v>F0</x:v>
      </x:c>
      <x:c r="H97" s="71" t="str">
        <x:v>Critica</x:v>
      </x:c>
      <x:c r="I97" s="71" t="str">
        <x:v>Backlog</x:v>
      </x:c>
      <x:c r="J97" s="71" t="str">
        <x:v>Pedro / Miqueias</x:v>
      </x:c>
      <x:c r="K97" s="71" t="str">
        <x:v>PL-094</x:v>
      </x:c>
      <x:c r="L97" s="92" t="n">
        <x:v>5</x:v>
      </x:c>
      <x:c r="M97" s="71"/>
      <x:c r="N97" s="71"/>
      <x:c r="O97" s="69"/>
      <x:c r="P97" s="69"/>
      <x:c r="Q97" s="69" t="str">
        <x:v>V1 — lançamento</x:v>
      </x:c>
      <x:c r="R97" s="69"/>
      <x:c r="S97" s="69"/>
      <x:c r="T97" s="69"/>
      <x:c r="U97" s="69"/>
      <x:c r="V97" s="69"/>
      <x:c r="W97" s="69"/>
      <x:c r="X97" s="69"/>
      <x:c r="Y97" s="69"/>
      <x:c r="Z97" s="69"/>
    </x:row>
    <x:row r="98" ht="45" customHeight="1">
      <x:c r="A98" s="71" t="str">
        <x:v>PL-097</x:v>
      </x:c>
      <x:c r="B98" s="71" t="str">
        <x:v>Prototipacao</x:v>
      </x:c>
      <x:c r="C98" s="71" t="str">
        <x:v>Fluxos navegaveis e mobile</x:v>
      </x:c>
      <x:c r="D98" s="71" t="str">
        <x:v>Oito jornadas obrigatorias navegaveis; uso mobile e desktop revisado.</x:v>
      </x:c>
      <x:c r="E98" s="71" t="str">
        <x:v>Design</x:v>
      </x:c>
      <x:c r="F98" s="71" t="str">
        <x:v>Prototipacao</x:v>
      </x:c>
      <x:c r="G98" s="71" t="str">
        <x:v>F0</x:v>
      </x:c>
      <x:c r="H98" s="71" t="str">
        <x:v>Critica</x:v>
      </x:c>
      <x:c r="I98" s="71" t="str">
        <x:v>Backlog</x:v>
      </x:c>
      <x:c r="J98" s="71" t="str">
        <x:v>Pedro / Miqueias</x:v>
      </x:c>
      <x:c r="K98" s="71" t="str">
        <x:v>PL-095,PL-096</x:v>
      </x:c>
      <x:c r="L98" s="71" t="n">
        <x:v>8</x:v>
      </x:c>
      <x:c r="M98" s="69"/>
      <x:c r="N98" s="69"/>
      <x:c r="O98" s="69"/>
      <x:c r="P98" s="69"/>
      <x:c r="Q98" s="69" t="str">
        <x:v>V1 — lançamento</x:v>
      </x:c>
      <x:c r="R98" s="69"/>
      <x:c r="S98" s="69"/>
      <x:c r="T98" s="69"/>
      <x:c r="U98" s="69"/>
      <x:c r="V98" s="69"/>
      <x:c r="W98" s="69"/>
      <x:c r="X98" s="69"/>
      <x:c r="Y98" s="69"/>
      <x:c r="Z98" s="69"/>
    </x:row>
    <x:row r="99" ht="45" customHeight="1">
      <x:c r="A99" s="71" t="str">
        <x:v>PL-098</x:v>
      </x:c>
      <x:c r="B99" s="71" t="str">
        <x:v>Prototipacao</x:v>
      </x:c>
      <x:c r="C99" s="71" t="str">
        <x:v>Validacao tecnica do prototipo</x:v>
      </x:c>
      <x:c r="D99" s="71" t="str">
        <x:v>Gabriel/Samuel validam viabilidade, limites de papel, dados e APIs; registrar ajustes.</x:v>
      </x:c>
      <x:c r="E99" s="71" t="str">
        <x:v>Arquitetura</x:v>
      </x:c>
      <x:c r="F99" s="71" t="str">
        <x:v>Prototipacao</x:v>
      </x:c>
      <x:c r="G99" s="71" t="str">
        <x:v>F0</x:v>
      </x:c>
      <x:c r="H99" s="71" t="str">
        <x:v>Critica</x:v>
      </x:c>
      <x:c r="I99" s="71" t="str">
        <x:v>Backlog</x:v>
      </x:c>
      <x:c r="J99" s="71" t="str">
        <x:v>Gabriel / Samuel</x:v>
      </x:c>
      <x:c r="K99" s="71" t="str">
        <x:v>PL-097</x:v>
      </x:c>
      <x:c r="L99" s="71" t="n">
        <x:v>3</x:v>
      </x:c>
      <x:c r="M99" s="69"/>
      <x:c r="N99" s="69"/>
      <x:c r="O99" s="69"/>
      <x:c r="P99" s="69"/>
      <x:c r="Q99" s="69" t="str">
        <x:v>V1 — lançamento</x:v>
      </x:c>
      <x:c r="R99" s="69"/>
      <x:c r="S99" s="69"/>
      <x:c r="T99" s="69"/>
      <x:c r="U99" s="69"/>
      <x:c r="V99" s="69"/>
      <x:c r="W99" s="69"/>
      <x:c r="X99" s="69"/>
      <x:c r="Y99" s="69"/>
      <x:c r="Z99" s="69"/>
    </x:row>
    <x:row r="100" ht="45" customHeight="1">
      <x:c r="A100" s="71" t="str">
        <x:v>PL-099</x:v>
      </x:c>
      <x:c r="B100" s="71" t="str">
        <x:v>Prototipacao</x:v>
      </x:c>
      <x:c r="C100" s="71" t="str">
        <x:v>Aceite do prototipo V1</x:v>
      </x:c>
      <x:c r="D100" s="71" t="str">
        <x:v>Responsavel do produto aprova fluxos finais; marco que libera codificacao funcional.</x:v>
      </x:c>
      <x:c r="E100" s="71" t="str">
        <x:v>Produto</x:v>
      </x:c>
      <x:c r="F100" s="71" t="str">
        <x:v>Prototipacao</x:v>
      </x:c>
      <x:c r="G100" s="71" t="str">
        <x:v>F0</x:v>
      </x:c>
      <x:c r="H100" s="71" t="str">
        <x:v>Critica</x:v>
      </x:c>
      <x:c r="I100" s="71" t="str">
        <x:v>Backlog</x:v>
      </x:c>
      <x:c r="J100" s="71" t="str">
        <x:v>Gestao</x:v>
      </x:c>
      <x:c r="K100" s="71" t="str">
        <x:v>PL-098</x:v>
      </x:c>
      <x:c r="L100" s="71" t="n">
        <x:v>2</x:v>
      </x:c>
      <x:c r="M100" s="69"/>
      <x:c r="N100" s="69"/>
      <x:c r="O100" s="69"/>
      <x:c r="P100" s="69"/>
      <x:c r="Q100" s="69" t="str">
        <x:v>V1 — lançamento</x:v>
      </x:c>
      <x:c r="R100" s="69"/>
      <x:c r="S100" s="69"/>
      <x:c r="T100" s="69"/>
      <x:c r="U100" s="69"/>
      <x:c r="V100" s="69"/>
      <x:c r="W100" s="69"/>
      <x:c r="X100" s="69"/>
      <x:c r="Y100" s="69"/>
      <x:c r="Z100" s="69"/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</x:row>
  </x:sheetData>
  <x:mergeCells>
    <x:mergeCell ref="P1:V2"/>
    <x:mergeCell ref="P3:V5"/>
  </x:mergeCells>
  <x:conditionalFormatting sqref="I2:I97">
    <x:cfRule type="expression" dxfId="0" priority="1">
      <x:formula>I2="Concluído"</x:formula>
    </x:cfRule>
    <x:cfRule type="expression" dxfId="1" priority="2">
      <x:formula>I2="Em andamento"</x:formula>
    </x:cfRule>
    <x:cfRule type="expression" dxfId="2" priority="3">
      <x:formula>I2="Bloqueado"</x:formula>
    </x:cfRule>
    <x:cfRule type="expression" dxfId="3" priority="4">
      <x:formula>I2="Em revisão"</x:formula>
    </x:cfRule>
  </x:conditionalFormatting>
  <x:conditionalFormatting sqref="H2:H97">
    <x:cfRule type="expression" dxfId="4" priority="5">
      <x:formula>H2="Crítica"</x:formula>
    </x:cfRule>
    <x:cfRule type="expression" dxfId="5" priority="6">
      <x:formula>H2="Alta"</x:formula>
    </x:cfRule>
  </x:conditionalFormatting>
  <x:conditionalFormatting sqref="M2:M97">
    <x:cfRule type="expression" dxfId="6" priority="7">
      <x:formula>M2="Sim"</x:formula>
    </x:cfRule>
  </x:conditionalFormatting>
  <x:conditionalFormatting sqref="I2:I84">
    <x:cfRule type="expression" dxfId="7" priority="8">
      <x:formula>I2="Backlog"</x:formula>
    </x:cfRule>
    <x:cfRule type="expression" dxfId="8" priority="9">
      <x:formula>I2="Pronto"</x:formula>
    </x:cfRule>
    <x:cfRule type="expression" dxfId="9" priority="10">
      <x:formula>I2="Em andamento"</x:formula>
    </x:cfRule>
    <x:cfRule type="expression" dxfId="10" priority="11">
      <x:formula>I2="Em revisão"</x:formula>
    </x:cfRule>
    <x:cfRule type="expression" dxfId="11" priority="12">
      <x:formula>I2="Bloqueado"</x:formula>
    </x:cfRule>
    <x:cfRule type="expression" dxfId="12" priority="13">
      <x:formula>I2="Concluído"</x:formula>
    </x:cfRule>
  </x:conditionalFormatting>
  <x:conditionalFormatting sqref="H2:H84">
    <x:cfRule type="expression" dxfId="13" priority="14">
      <x:formula>H2="Crítica"</x:formula>
    </x:cfRule>
    <x:cfRule type="expression" dxfId="14" priority="15">
      <x:formula>H2="Alta"</x:formula>
    </x:cfRule>
  </x:conditionalFormatting>
  <x:conditionalFormatting sqref="M2:M84">
    <x:cfRule type="expression" dxfId="15" priority="16">
      <x:formula>M2="Sim"</x:formula>
    </x:cfRule>
  </x:conditionalFormatting>
  <x:dataValidations count="12">
    <x:dataValidation type="list" sqref="E2:E97">
      <x:formula1>Listas!$E$2:$E$11</x:formula1>
    </x:dataValidation>
    <x:dataValidation type="list" sqref="F2:F97">
      <x:formula1>Listas!$C$2:$C$6</x:formula1>
    </x:dataValidation>
    <x:dataValidation type="list" sqref="G2:G97">
      <x:formula1>Listas!$F$2:$F$13</x:formula1>
    </x:dataValidation>
    <x:dataValidation type="list" sqref="H2:H97">
      <x:formula1>Listas!$B$2:$B$5</x:formula1>
    </x:dataValidation>
    <x:dataValidation type="list" sqref="I2:I97">
      <x:formula1>Listas!$A$2:$A$7</x:formula1>
    </x:dataValidation>
    <x:dataValidation type="list" sqref="J2:J97">
      <x:formula1>Listas!$D$2:$D$11</x:formula1>
    </x:dataValidation>
    <x:dataValidation type="list" sqref="E2:E84">
      <x:formula1>Listas!$E$2:$E$11</x:formula1>
    </x:dataValidation>
    <x:dataValidation type="list" sqref="F2:F84">
      <x:formula1>"Fundação,Fase A,Transversal"</x:formula1>
    </x:dataValidation>
    <x:dataValidation type="list" sqref="G2:G84">
      <x:formula1>"S0,S1,S2,S3,S4,Beta,Estabilização"</x:formula1>
    </x:dataValidation>
    <x:dataValidation type="list" sqref="H2:H84">
      <x:formula1>Listas!$B$2:$B$5</x:formula1>
    </x:dataValidation>
    <x:dataValidation type="list" sqref="I2:I84">
      <x:formula1>Listas!$A$2:$A$7</x:formula1>
    </x:dataValidation>
    <x:dataValidation type="list" sqref="J2:J84">
      <x:formula1>Listas!$D$2:$D$11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c543d9ca7d40f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30" customHeight="1">
      <x:c r="A1" s="1042" t="str">
        <x:v>KANBAN — PLANTEL | SOMENTE V1</x:v>
      </x:c>
      <x:c r="B1" s="1042"/>
      <x:c r="C1" s="1042"/>
      <x:c r="D1" s="1042"/>
      <x:c r="E1" s="1042"/>
      <x:c r="F1" s="1042"/>
      <x:c r="G1" s="436"/>
      <x:c r="H1" s="436"/>
      <x:c r="I1" s="436"/>
      <x:c r="J1" s="436"/>
      <x:c r="K1" s="436"/>
      <x:c r="L1" s="436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2" ht="30" customHeight="1">
      <x:c r="A2" s="1042"/>
      <x:c r="B2" s="1042"/>
      <x:c r="C2" s="1042"/>
      <x:c r="D2" s="1042"/>
      <x:c r="E2" s="1042"/>
      <x:c r="F2" s="1042"/>
      <x:c r="G2" s="436"/>
      <x:c r="H2" s="436"/>
      <x:c r="I2" s="436"/>
      <x:c r="J2" s="436"/>
      <x:c r="K2" s="436"/>
      <x:c r="L2" s="436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</x:row>
    <x:row r="3" ht="34" customHeight="1">
      <x:c r="A3" s="1044" t="str">
        <x:v>SPRINT</x:v>
      </x:c>
      <x:c r="B3" s="1047" t="str">
        <x:v>S0</x:v>
      </x:c>
      <x:c r="C3" s="1051" t="str">
        <x:v>Escolha a sprint. O quadro lê o Backlog automaticamente; ao trocar Status ou Sprint, o cartão muda de coluna.</x:v>
      </x:c>
      <x:c r="D3" s="1052"/>
      <x:c r="E3" s="1053"/>
      <x:c r="F3" s="1053"/>
      <x:c r="G3" s="451"/>
      <x:c r="H3" s="451"/>
      <x:c r="I3" s="451"/>
      <x:c r="J3" s="451"/>
      <x:c r="K3" s="451"/>
      <x:c r="L3" s="451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</x:row>
    <x:row r="4">
      <x:c r="A4" s="69"/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 ht="42" customHeight="1">
      <x:c r="A5" s="1057" t="str">
        <x:f>"BACKLOG"&amp;CHAR(10)&amp;COUNTIFS(Backlog!$I$2:$I$100,"Backlog",Backlog!$G$2:$G$100,$B$3)&amp;" tarefa(s)"</x:f>
        <x:v>BACKLOG
16 tarefa(s)</x:v>
      </x:c>
      <x:c r="B5" s="1060" t="str">
        <x:f>"PRONTO"&amp;CHAR(10)&amp;COUNTIFS(Backlog!$I$2:$I$100,"Pronto",Backlog!$G$2:$G$100,$B$3)&amp;" tarefa(s)"</x:f>
        <x:v>PRONTO
0 tarefa(s)</x:v>
      </x:c>
      <x:c r="C5" s="1063" t="str">
        <x:f>"EM ANDAMENTO"&amp;CHAR(10)&amp;COUNTIFS(Backlog!$I$2:$I$100,"Em andamento",Backlog!$G$2:$G$100,$B$3)&amp;" tarefa(s)"</x:f>
        <x:v>EM ANDAMENTO
0 tarefa(s)</x:v>
      </x:c>
      <x:c r="D5" s="1066" t="str">
        <x:f>"EM REVISÃO"&amp;CHAR(10)&amp;COUNTIFS(Backlog!$I$2:$I$100,"Em revisão",Backlog!$G$2:$G$100,$B$3)&amp;" tarefa(s)"</x:f>
        <x:v>EM REVISÃO
0 tarefa(s)</x:v>
      </x:c>
      <x:c r="E5" s="1069" t="str">
        <x:f>"BLOQUEADO"&amp;CHAR(10)&amp;COUNTIFS(Backlog!$I$2:$I$100,"Bloqueado",Backlog!$G$2:$G$100,$B$3)&amp;" tarefa(s)"</x:f>
        <x:v>BLOQUEADO
0 tarefa(s)</x:v>
      </x:c>
      <x:c r="F5" s="1072" t="str">
        <x:f>"CONCLUÍDO"&amp;CHAR(10)&amp;COUNTIFS(Backlog!$I$2:$I$100,"Concluído",Backlog!$G$2:$G$100,$B$3)&amp;" tarefa(s)"</x:f>
        <x:v>CONCLUÍDO
0 tarefa(s)</x:v>
      </x:c>
      <x:c r="G5" s="493"/>
      <x:c r="H5" s="493"/>
      <x:c r="I5" s="503" t="str">
        <x:f>"BLOQUEADO"&amp;CHAR(10)&amp;COUNTIFS(Backlog!$I$2:$I$100,"Bloqueado",Backlog!$G$2:$G$100,$C$3)</x:f>
        <x:v>BLOQUEADO
0</x:v>
      </x:c>
      <x:c r="J5" s="503"/>
      <x:c r="K5" s="513" t="str">
        <x:f>"CONCLUÍDO"&amp;CHAR(10)&amp;COUNTIFS(Backlog!$I$2:$I$100,"Concluído",Backlog!$G$2:$G$100,$C$3)</x:f>
        <x:v>CONCLUÍDO
0</x:v>
      </x:c>
      <x:c r="L5" s="513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</x:row>
    <x:row r="6" ht="24" customHeight="1">
      <x:c r="A6" s="460"/>
      <x:c r="B6" s="461"/>
      <x:c r="C6" s="474"/>
      <x:c r="D6" s="475"/>
      <x:c r="E6" s="488"/>
      <x:c r="F6" s="489"/>
      <x:c r="G6" s="498"/>
      <x:c r="H6" s="499"/>
      <x:c r="I6" s="508"/>
      <x:c r="J6" s="509"/>
      <x:c r="K6" s="518"/>
      <x:c r="L6" s="51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</x:row>
    <x:row r="7" ht="72" customHeight="1">
      <x:c r="A7" s="1078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"&amp;Backlog!$K$2:$K$100,""),(Backlog!$I$2:$I$100="Backlog")*(Backlog!$G$2:$G$100=$B$3)),1),"")</x:f>
        <x:v>PL-001  —  Criar repositorio unico e padroes
Fundação  |  Crítica
Gabriel / Samuel
Dep.: -</x:v>
      </x:c>
      <x:c r="B7" s="1108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"&amp;Backlog!$K$2:$K$100,""),(Backlog!$I$2:$I$100="Pronto")*(Backlog!$G$2:$G$100=$B$3)),1),"")</x:f>
      </x:c>
      <x:c r="C7" s="1134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"&amp;Backlog!$K$2:$K$100,""),(Backlog!$I$2:$I$100="Em andamento")*(Backlog!$G$2:$G$100=$B$3)),1),"")</x:f>
      </x:c>
      <x:c r="D7" s="1159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"&amp;Backlog!$K$2:$K$100,""),(Backlog!$I$2:$I$100="Em revisão")*(Backlog!$G$2:$G$100=$B$3)),1),"")</x:f>
      </x:c>
      <x:c r="E7" s="1182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"&amp;Backlog!$K$2:$K$100,""),(Backlog!$I$2:$I$100="Bloqueado")*(Backlog!$G$2:$G$100=$B$3)),1),"")</x:f>
      </x:c>
      <x:c r="F7" s="1199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"&amp;Backlog!$K$2:$K$100,""),(Backlog!$I$2:$I$100="Concluído")*(Backlog!$G$2:$G$100=$B$3)),1),"")</x:f>
      </x:c>
      <x:c r="G7" s="405"/>
      <x:c r="H7" s="406"/>
      <x:c r="I7" s="419"/>
      <x:c r="J7" s="420"/>
      <x:c r="K7" s="433"/>
      <x:c r="L7" s="434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</x:row>
    <x:row r="8" ht="10" customHeight="1">
      <x:c r="A8" s="1081"/>
      <x:c r="B8" s="1111"/>
      <x:c r="C8" s="1081"/>
      <x:c r="D8" s="1111"/>
      <x:c r="E8" s="1081"/>
      <x:c r="F8" s="1111"/>
      <x:c r="G8" s="746"/>
      <x:c r="H8" s="747"/>
      <x:c r="I8" s="786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"&amp;Backlog!$K$2:$K$100),(Backlog!$I$2:$I$100="Bloqueado")*(Backlog!$G$2:$G$100=$C$3)),1),"")</x:f>
      </x:c>
      <x:c r="J8" s="787"/>
      <x:c r="K8" s="826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"&amp;Backlog!$K$2:$K$100),(Backlog!$I$2:$I$100="Concluído")*(Backlog!$G$2:$G$100=$C$3)),1),"")</x:f>
      </x:c>
      <x:c r="L8" s="827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</x:row>
    <x:row r="9" ht="72" customHeight="1">
      <x:c r="A9" s="1086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"&amp;Backlog!$K$2:$K$100,""),(Backlog!$I$2:$I$100="Backlog")*(Backlog!$G$2:$G$100=$B$3)),2),"")</x:f>
        <x:v>PL-002  —  Criar AGENTS.md e CLAUDE.md
Fundação  |  Alta
Gabriel / Samuel
Dep.: -</x:v>
      </x:c>
      <x:c r="B9" s="1115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"&amp;Backlog!$K$2:$K$100,""),(Backlog!$I$2:$I$100="Pronto")*(Backlog!$G$2:$G$100=$B$3)),2),"")</x:f>
      </x:c>
      <x:c r="C9" s="1140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"&amp;Backlog!$K$2:$K$100,""),(Backlog!$I$2:$I$100="Em andamento")*(Backlog!$G$2:$G$100=$B$3)),2),"")</x:f>
      </x:c>
      <x:c r="D9" s="1165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"&amp;Backlog!$K$2:$K$100,""),(Backlog!$I$2:$I$100="Em revisão")*(Backlog!$G$2:$G$100=$B$3)),2),"")</x:f>
      </x:c>
      <x:c r="E9" s="1182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"&amp;Backlog!$K$2:$K$100,""),(Backlog!$I$2:$I$100="Bloqueado")*(Backlog!$G$2:$G$100=$B$3)),2),"")</x:f>
      </x:c>
      <x:c r="F9" s="1199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"&amp;Backlog!$K$2:$K$100,""),(Backlog!$I$2:$I$100="Concluído")*(Backlog!$G$2:$G$100=$B$3)),2),"")</x:f>
      </x:c>
      <x:c r="G9" s="748"/>
      <x:c r="H9" s="749"/>
      <x:c r="I9" s="788"/>
      <x:c r="J9" s="789"/>
      <x:c r="K9" s="828"/>
      <x:c r="L9" s="82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</x:row>
    <x:row r="10" ht="10" customHeight="1">
      <x:c r="A10" s="1089"/>
      <x:c r="B10" s="1118"/>
      <x:c r="C10" s="1089"/>
      <x:c r="D10" s="1118"/>
      <x:c r="E10" s="1081"/>
      <x:c r="F10" s="1111"/>
      <x:c r="G10" s="750"/>
      <x:c r="H10" s="751"/>
      <x:c r="I10" s="790"/>
      <x:c r="J10" s="791"/>
      <x:c r="K10" s="830"/>
      <x:c r="L10" s="831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</x:row>
    <x:row r="11" ht="72" customHeight="1">
      <x:c r="A11" s="1078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"&amp;Backlog!$K$2:$K$100,""),(Backlog!$I$2:$I$100="Backlog")*(Backlog!$G$2:$G$100=$B$3)),3),"")</x:f>
        <x:v>PL-003  —  Configurar CI
Fundação  |  Crítica
Gabriel / Samuel
Dep.: -</x:v>
      </x:c>
      <x:c r="B11" s="1108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"&amp;Backlog!$K$2:$K$100,""),(Backlog!$I$2:$I$100="Pronto")*(Backlog!$G$2:$G$100=$B$3)),3),"")</x:f>
      </x:c>
      <x:c r="C11" s="1134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"&amp;Backlog!$K$2:$K$100,""),(Backlog!$I$2:$I$100="Em andamento")*(Backlog!$G$2:$G$100=$B$3)),3),"")</x:f>
      </x:c>
      <x:c r="D11" s="1159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"&amp;Backlog!$K$2:$K$100,""),(Backlog!$I$2:$I$100="Em revisão")*(Backlog!$G$2:$G$100=$B$3)),3),"")</x:f>
      </x:c>
      <x:c r="E11" s="1182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"&amp;Backlog!$K$2:$K$100,""),(Backlog!$I$2:$I$100="Bloqueado")*(Backlog!$G$2:$G$100=$B$3)),3),"")</x:f>
      </x:c>
      <x:c r="F11" s="1199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"&amp;Backlog!$K$2:$K$100,""),(Backlog!$I$2:$I$100="Concluído")*(Backlog!$G$2:$G$100=$B$3)),3),"")</x:f>
      </x:c>
      <x:c r="G11" s="752"/>
      <x:c r="H11" s="753"/>
      <x:c r="I11" s="792"/>
      <x:c r="J11" s="793"/>
      <x:c r="K11" s="832"/>
      <x:c r="L11" s="833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</x:row>
    <x:row r="12" ht="10" customHeight="1">
      <x:c r="A12" s="1094"/>
      <x:c r="B12" s="1123"/>
      <x:c r="C12" s="1147"/>
      <x:c r="D12" s="1172"/>
      <x:c r="E12" s="1147"/>
      <x:c r="F12" s="1172"/>
      <x:c r="G12" s="291"/>
      <x:c r="H12" s="292"/>
      <x:c r="I12" s="291"/>
      <x:c r="J12" s="292"/>
      <x:c r="K12" s="291"/>
      <x:c r="L12" s="292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</x:row>
    <x:row r="13" ht="72" customHeight="1">
      <x:c r="A13" s="1078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"&amp;Backlog!$K$2:$K$100,""),(Backlog!$I$2:$I$100="Backlog")*(Backlog!$G$2:$G$100=$B$3)),4),"")</x:f>
        <x:v>PL-004  —  Preparar ambientes DEV e PROD sem duplicar hospedagem
Fundação  |  Crítica
Gabriel / Samuel
Dep.: -</x:v>
      </x:c>
      <x:c r="B13" s="1108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"&amp;Backlog!$K$2:$K$100,""),(Backlog!$I$2:$I$100="Pronto")*(Backlog!$G$2:$G$100=$B$3)),4),"")</x:f>
      </x:c>
      <x:c r="C13" s="1134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"&amp;Backlog!$K$2:$K$100,""),(Backlog!$I$2:$I$100="Em andamento")*(Backlog!$G$2:$G$100=$B$3)),4),"")</x:f>
      </x:c>
      <x:c r="D13" s="1159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"&amp;Backlog!$K$2:$K$100,""),(Backlog!$I$2:$I$100="Em revisão")*(Backlog!$G$2:$G$100=$B$3)),4),"")</x:f>
      </x:c>
      <x:c r="E13" s="1182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"&amp;Backlog!$K$2:$K$100,""),(Backlog!$I$2:$I$100="Bloqueado")*(Backlog!$G$2:$G$100=$B$3)),4),"")</x:f>
      </x:c>
      <x:c r="F13" s="1199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"&amp;Backlog!$K$2:$K$100,""),(Backlog!$I$2:$I$100="Concluído")*(Backlog!$G$2:$G$100=$B$3)),4),"")</x:f>
      </x:c>
      <x:c r="G13" s="758"/>
      <x:c r="H13" s="759"/>
      <x:c r="I13" s="798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"&amp;Backlog!$K$2:$K$100),(Backlog!$I$2:$I$100="Bloqueado")*(Backlog!$G$2:$G$100=$C$3)),2),"")</x:f>
      </x:c>
      <x:c r="J13" s="799"/>
      <x:c r="K13" s="838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"&amp;Backlog!$K$2:$K$100),(Backlog!$I$2:$I$100="Concluído")*(Backlog!$G$2:$G$100=$C$3)),2),"")</x:f>
      </x:c>
      <x:c r="L13" s="83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</x:row>
    <x:row r="14" ht="10" customHeight="1">
      <x:c r="A14" s="1081"/>
      <x:c r="B14" s="1111"/>
      <x:c r="C14" s="1081"/>
      <x:c r="D14" s="1111"/>
      <x:c r="E14" s="1081"/>
      <x:c r="F14" s="1111"/>
      <x:c r="G14" s="750"/>
      <x:c r="H14" s="751"/>
      <x:c r="I14" s="790"/>
      <x:c r="J14" s="791"/>
      <x:c r="K14" s="830"/>
      <x:c r="L14" s="831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</x:row>
    <x:row r="15" ht="72" customHeight="1">
      <x:c r="A15" s="1086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"&amp;Backlog!$K$2:$K$100,""),(Backlog!$I$2:$I$100="Backlog")*(Backlog!$G$2:$G$100=$B$3)),5),"")</x:f>
        <x:v>PL-005  —  Configurar API Node/Express
Fundação  |  Crítica
Gabriel / Samuel
Dep.: -</x:v>
      </x:c>
      <x:c r="B15" s="1115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"&amp;Backlog!$K$2:$K$100,""),(Backlog!$I$2:$I$100="Pronto")*(Backlog!$G$2:$G$100=$B$3)),5),"")</x:f>
      </x:c>
      <x:c r="C15" s="1134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"&amp;Backlog!$K$2:$K$100,""),(Backlog!$I$2:$I$100="Em andamento")*(Backlog!$G$2:$G$100=$B$3)),5),"")</x:f>
      </x:c>
      <x:c r="D15" s="1159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"&amp;Backlog!$K$2:$K$100,""),(Backlog!$I$2:$I$100="Em revisão")*(Backlog!$G$2:$G$100=$B$3)),5),"")</x:f>
      </x:c>
      <x:c r="E15" s="1182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"&amp;Backlog!$K$2:$K$100,""),(Backlog!$I$2:$I$100="Bloqueado")*(Backlog!$G$2:$G$100=$B$3)),5),"")</x:f>
      </x:c>
      <x:c r="F15" s="1199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"&amp;Backlog!$K$2:$K$100,""),(Backlog!$I$2:$I$100="Concluído")*(Backlog!$G$2:$G$100=$B$3)),5),"")</x:f>
      </x:c>
      <x:c r="G15" s="748"/>
      <x:c r="H15" s="749"/>
      <x:c r="I15" s="788"/>
      <x:c r="J15" s="789"/>
      <x:c r="K15" s="828"/>
      <x:c r="L15" s="82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</x:row>
    <x:row r="16" ht="10" customHeight="1">
      <x:c r="A16" s="1089"/>
      <x:c r="B16" s="1118"/>
      <x:c r="C16" s="1089"/>
      <x:c r="D16" s="1118"/>
      <x:c r="E16" s="1089"/>
      <x:c r="F16" s="1118"/>
      <x:c r="G16" s="760"/>
      <x:c r="H16" s="761"/>
      <x:c r="I16" s="800"/>
      <x:c r="J16" s="801"/>
      <x:c r="K16" s="840"/>
      <x:c r="L16" s="841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</x:row>
    <x:row r="17" ht="72" customHeight="1">
      <x:c r="A17" s="1078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"&amp;Backlog!$K$2:$K$100,""),(Backlog!$I$2:$I$100="Backlog")*(Backlog!$G$2:$G$100=$B$3)),6),"")</x:f>
        <x:v>PL-006  —  Configurar PostgreSQL Supabase DEV e migrations
Fundação  |  Crítica
Gabriel / Samuel
Dep.: -</x:v>
      </x:c>
      <x:c r="B17" s="1108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"&amp;Backlog!$K$2:$K$100,""),(Backlog!$I$2:$I$100="Pronto")*(Backlog!$G$2:$G$100=$B$3)),6),"")</x:f>
      </x:c>
      <x:c r="C17" s="1134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"&amp;Backlog!$K$2:$K$100,""),(Backlog!$I$2:$I$100="Em andamento")*(Backlog!$G$2:$G$100=$B$3)),6),"")</x:f>
      </x:c>
      <x:c r="D17" s="1159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"&amp;Backlog!$K$2:$K$100,""),(Backlog!$I$2:$I$100="Em revisão")*(Backlog!$G$2:$G$100=$B$3)),6),"")</x:f>
      </x:c>
      <x:c r="E17" s="1182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"&amp;Backlog!$K$2:$K$100,""),(Backlog!$I$2:$I$100="Bloqueado")*(Backlog!$G$2:$G$100=$B$3)),6),"")</x:f>
      </x:c>
      <x:c r="F17" s="1199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"&amp;Backlog!$K$2:$K$100,""),(Backlog!$I$2:$I$100="Concluído")*(Backlog!$G$2:$G$100=$B$3)),6),"")</x:f>
      </x:c>
      <x:c r="G17" s="315"/>
      <x:c r="H17" s="316"/>
      <x:c r="I17" s="315"/>
      <x:c r="J17" s="316"/>
      <x:c r="K17" s="315"/>
      <x:c r="L17" s="316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</x:row>
    <x:row r="18" ht="10" customHeight="1">
      <x:c r="A18" s="1100"/>
      <x:c r="B18" s="1128"/>
      <x:c r="C18" s="1081"/>
      <x:c r="D18" s="1111"/>
      <x:c r="E18" s="1081"/>
      <x:c r="F18" s="1111"/>
      <x:c r="G18" s="746"/>
      <x:c r="H18" s="747"/>
      <x:c r="I18" s="786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"&amp;Backlog!$K$2:$K$100),(Backlog!$I$2:$I$100="Bloqueado")*(Backlog!$G$2:$G$100=$C$3)),3),"")</x:f>
      </x:c>
      <x:c r="J18" s="787"/>
      <x:c r="K18" s="826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"&amp;Backlog!$K$2:$K$100),(Backlog!$I$2:$I$100="Concluído")*(Backlog!$G$2:$G$100=$C$3)),3),"")</x:f>
      </x:c>
      <x:c r="L18" s="827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</x:row>
    <x:row r="19" ht="72" customHeight="1">
      <x:c r="A19" s="1078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"&amp;Backlog!$K$2:$K$100,""),(Backlog!$I$2:$I$100="Backlog")*(Backlog!$G$2:$G$100=$B$3)),7),"")</x:f>
        <x:v>PL-007  —  Definir autenticação Supabase Auth
Fundação  |  Crítica
Gabriel / Samuel
Dep.: -</x:v>
      </x:c>
      <x:c r="B19" s="1108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"&amp;Backlog!$K$2:$K$100,""),(Backlog!$I$2:$I$100="Pronto")*(Backlog!$G$2:$G$100=$B$3)),7),"")</x:f>
      </x:c>
      <x:c r="C19" s="1134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"&amp;Backlog!$K$2:$K$100,""),(Backlog!$I$2:$I$100="Em andamento")*(Backlog!$G$2:$G$100=$B$3)),7),"")</x:f>
      </x:c>
      <x:c r="D19" s="1159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"&amp;Backlog!$K$2:$K$100,""),(Backlog!$I$2:$I$100="Em revisão")*(Backlog!$G$2:$G$100=$B$3)),7),"")</x:f>
      </x:c>
      <x:c r="E19" s="1182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"&amp;Backlog!$K$2:$K$100,""),(Backlog!$I$2:$I$100="Bloqueado")*(Backlog!$G$2:$G$100=$B$3)),7),"")</x:f>
      </x:c>
      <x:c r="F19" s="1199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"&amp;Backlog!$K$2:$K$100,""),(Backlog!$I$2:$I$100="Concluído")*(Backlog!$G$2:$G$100=$B$3)),7),"")</x:f>
      </x:c>
      <x:c r="G19" s="748"/>
      <x:c r="H19" s="749"/>
      <x:c r="I19" s="788"/>
      <x:c r="J19" s="789"/>
      <x:c r="K19" s="828"/>
      <x:c r="L19" s="82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</x:row>
    <x:row r="20" ht="10" customHeight="1">
      <x:c r="A20" s="1081"/>
      <x:c r="B20" s="1111"/>
      <x:c r="C20" s="1081"/>
      <x:c r="D20" s="1111"/>
      <x:c r="E20" s="1081"/>
      <x:c r="F20" s="1111"/>
      <x:c r="G20" s="750"/>
      <x:c r="H20" s="751"/>
      <x:c r="I20" s="790"/>
      <x:c r="J20" s="791"/>
      <x:c r="K20" s="830"/>
      <x:c r="L20" s="831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</x:row>
    <x:row r="21" ht="72" customHeight="1">
      <x:c r="A21" s="1086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"&amp;Backlog!$K$2:$K$100,""),(Backlog!$I$2:$I$100="Backlog")*(Backlog!$G$2:$G$100=$B$3)),8),"")</x:f>
        <x:v>PL-008  —  Criar design system base
Fundação  |  Alta
Pedro / Miqueias
Dep.: -</x:v>
      </x:c>
      <x:c r="B21" s="1115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"&amp;Backlog!$K$2:$K$100,""),(Backlog!$I$2:$I$100="Pronto")*(Backlog!$G$2:$G$100=$B$3)),8),"")</x:f>
      </x:c>
      <x:c r="C21" s="1134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"&amp;Backlog!$K$2:$K$100,""),(Backlog!$I$2:$I$100="Em andamento")*(Backlog!$G$2:$G$100=$B$3)),8),"")</x:f>
      </x:c>
      <x:c r="D21" s="1159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"&amp;Backlog!$K$2:$K$100,""),(Backlog!$I$2:$I$100="Em revisão")*(Backlog!$G$2:$G$100=$B$3)),8),"")</x:f>
      </x:c>
      <x:c r="E21" s="1182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"&amp;Backlog!$K$2:$K$100,""),(Backlog!$I$2:$I$100="Bloqueado")*(Backlog!$G$2:$G$100=$B$3)),8),"")</x:f>
      </x:c>
      <x:c r="F21" s="1199" t="str">
        <x:f>IFERROR(INDEX(_xlfn._xlws.FILTER(Backlog!$A$2:$A$100&amp;"  —  "&amp;Backlog!$C$2:$C$100&amp;CHAR(10)&amp;Backlog!$B$2:$B$100&amp;"  |  "&amp;Backlog!$H$2:$H$100&amp;CHAR(10)&amp;Backlog!$J$2:$J$100&amp;IF((Backlog!$K$2:$K$100&lt;&gt;"")*(Backlog!$K$2:$K$100&lt;&gt;"-"),CHAR(10)&amp;"Dep.: "&amp;Backlog!$K$2:$K$100,""),(Backlog!$I$2:$I$100="Concluído")*(Backlog!$G$2:$G$100=$B$3)),8),"")</x:f>
      </x:c>
      <x:c r="G21" s="752"/>
      <x:c r="H21" s="753"/>
      <x:c r="I21" s="792"/>
      <x:c r="J21" s="793"/>
      <x:c r="K21" s="832"/>
      <x:c r="L21" s="833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</x:row>
    <x:row r="22" ht="10" customHeight="1">
      <x:c r="A22" s="1102"/>
      <x:c r="B22" s="1129"/>
      <x:c r="C22" s="1153"/>
      <x:c r="D22" s="1177"/>
      <x:c r="E22" s="1193"/>
      <x:c r="F22" s="1210"/>
      <x:c r="G22" s="762"/>
      <x:c r="H22" s="763"/>
      <x:c r="I22" s="802"/>
      <x:c r="J22" s="803"/>
      <x:c r="K22" s="842"/>
      <x:c r="L22" s="843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</x:row>
    <x:row r="23" ht="24" customHeight="1">
      <x:c r="A23" s="566"/>
      <x:c r="B23" s="567"/>
      <x:c r="C23" s="674"/>
      <x:c r="D23" s="675"/>
      <x:c r="E23" s="718"/>
      <x:c r="F23" s="719"/>
      <x:c r="G23" s="758"/>
      <x:c r="H23" s="759"/>
      <x:c r="I23" s="798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"&amp;Backlog!$K$2:$K$100),(Backlog!$I$2:$I$100="Bloqueado")*(Backlog!$G$2:$G$100=$C$3)),4),"")</x:f>
      </x:c>
      <x:c r="J23" s="799"/>
      <x:c r="K23" s="838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"&amp;Backlog!$K$2:$K$100),(Backlog!$I$2:$I$100="Concluído")*(Backlog!$G$2:$G$100=$C$3)),4),"")</x:f>
      </x:c>
      <x:c r="L23" s="83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</x:row>
    <x:row r="24" ht="26" customHeight="1">
      <x:c r="A24" s="1213" t="str">
        <x:f>IF(COUNTIFS(Backlog!$I$2:$I$100,"Backlog",Backlog!$G$2:$G$100,$B$3)&gt;8,"+"&amp;(COUNTIFS(Backlog!$I$2:$I$100,"Backlog",Backlog!$G$2:$G$100,$B$3)-8)&amp;" tarefa(s) no Backlog","")</x:f>
        <x:v>+8 tarefa(s) no Backlog</x:v>
      </x:c>
      <x:c r="B24" s="1219" t="str">
        <x:f>IF(COUNTIFS(Backlog!$I$2:$I$100,"Pronto",Backlog!$G$2:$G$100,$B$3)&gt;8,"+"&amp;(COUNTIFS(Backlog!$I$2:$I$100,"Pronto",Backlog!$G$2:$G$100,$B$3)-8)&amp;" tarefa(s) no Backlog","")</x:f>
      </x:c>
      <x:c r="C24" s="1222" t="str">
        <x:f>IF(COUNTIFS(Backlog!$I$2:$I$100,"Em andamento",Backlog!$G$2:$G$100,$B$3)&gt;8,"+"&amp;(COUNTIFS(Backlog!$I$2:$I$100,"Em andamento",Backlog!$G$2:$G$100,$B$3)-8)&amp;" tarefa(s) no Backlog","")</x:f>
      </x:c>
      <x:c r="D24" s="1228" t="str">
        <x:f>IF(COUNTIFS(Backlog!$I$2:$I$100,"Em revisão",Backlog!$G$2:$G$100,$B$3)&gt;8,"+"&amp;(COUNTIFS(Backlog!$I$2:$I$100,"Em revisão",Backlog!$G$2:$G$100,$B$3)-8)&amp;" tarefa(s) no Backlog","")</x:f>
      </x:c>
      <x:c r="E24" s="1222" t="str">
        <x:f>IF(COUNTIFS(Backlog!$I$2:$I$100,"Bloqueado",Backlog!$G$2:$G$100,$B$3)&gt;8,"+"&amp;(COUNTIFS(Backlog!$I$2:$I$100,"Bloqueado",Backlog!$G$2:$G$100,$B$3)-8)&amp;" tarefa(s) no Backlog","")</x:f>
      </x:c>
      <x:c r="F24" s="1228" t="str">
        <x:f>IF(COUNTIFS(Backlog!$I$2:$I$100,"Concluído",Backlog!$G$2:$G$100,$B$3)&gt;8,"+"&amp;(COUNTIFS(Backlog!$I$2:$I$100,"Concluído",Backlog!$G$2:$G$100,$B$3)-8)&amp;" tarefa(s) no Backlog","")</x:f>
      </x:c>
      <x:c r="G24" s="750"/>
      <x:c r="H24" s="751"/>
      <x:c r="I24" s="790"/>
      <x:c r="J24" s="791"/>
      <x:c r="K24" s="830"/>
      <x:c r="L24" s="831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</x:row>
    <x:row r="25" ht="24" customHeight="1">
      <x:c r="A25" s="584"/>
      <x:c r="B25" s="585"/>
      <x:c r="C25" s="678"/>
      <x:c r="D25" s="679"/>
      <x:c r="E25" s="708"/>
      <x:c r="F25" s="709"/>
      <x:c r="G25" s="748"/>
      <x:c r="H25" s="749"/>
      <x:c r="I25" s="788"/>
      <x:c r="J25" s="789"/>
      <x:c r="K25" s="828"/>
      <x:c r="L25" s="82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</x:row>
    <x:row r="26" ht="24" customHeight="1">
      <x:c r="A26" s="570"/>
      <x:c r="B26" s="571"/>
      <x:c r="C26" s="680"/>
      <x:c r="D26" s="681"/>
      <x:c r="E26" s="720"/>
      <x:c r="F26" s="721"/>
      <x:c r="G26" s="760"/>
      <x:c r="H26" s="761"/>
      <x:c r="I26" s="800"/>
      <x:c r="J26" s="801"/>
      <x:c r="K26" s="840"/>
      <x:c r="L26" s="841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</x:row>
    <x:row r="27" ht="26" customHeight="1">
      <x:c r="A27" s="1239" t="str">
        <x:v>RESUMO DA SPRINT</x:v>
      </x:c>
      <x:c r="B27" s="1240"/>
      <x:c r="C27" s="1241"/>
      <x:c r="D27" s="1242"/>
      <x:c r="E27" s="1241"/>
      <x:c r="F27" s="1242"/>
      <x:c r="G27" s="764"/>
      <x:c r="H27" s="765"/>
      <x:c r="I27" s="804"/>
      <x:c r="J27" s="805"/>
      <x:c r="K27" s="844"/>
      <x:c r="L27" s="845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</x:row>
    <x:row r="28" ht="26" customHeight="1">
      <x:c r="A28" s="1250" t="str">
        <x:v>TOTAL</x:v>
      </x:c>
      <x:c r="B28" s="1256" t="str">
        <x:v>CONCLUÍDAS</x:v>
      </x:c>
      <x:c r="C28" s="1259" t="str">
        <x:v>EM CURSO</x:v>
      </x:c>
      <x:c r="D28" s="1262" t="str">
        <x:v>BLOQUEADAS</x:v>
      </x:c>
      <x:c r="E28" s="1259" t="str">
        <x:v>PONTOS</x:v>
      </x:c>
      <x:c r="F28" s="1262" t="str">
        <x:v>% CONCLUÍDO</x:v>
      </x:c>
      <x:c r="G28" s="746"/>
      <x:c r="H28" s="747"/>
      <x:c r="I28" s="786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"&amp;Backlog!$K$2:$K$100),(Backlog!$I$2:$I$100="Bloqueado")*(Backlog!$G$2:$G$100=$C$3)),5),"")</x:f>
      </x:c>
      <x:c r="J28" s="787"/>
      <x:c r="K28" s="826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"&amp;Backlog!$K$2:$K$100),(Backlog!$I$2:$I$100="Concluído")*(Backlog!$G$2:$G$100=$C$3)),5),"")</x:f>
      </x:c>
      <x:c r="L28" s="827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</x:row>
    <x:row r="29" ht="26" customHeight="1">
      <x:c r="A29" s="1268" t="n">
        <x:f>COUNTIF(Backlog!$G$2:$G$100,$B$3)</x:f>
        <x:v>16</x:v>
      </x:c>
      <x:c r="B29" s="1268" t="n">
        <x:f>COUNTIFS(Backlog!$G$2:$G$100,$B$3,Backlog!$I$2:$I$100,"Concluído")</x:f>
        <x:v>0</x:v>
      </x:c>
      <x:c r="C29" s="1268" t="n">
        <x:f>COUNTIFS(Backlog!$G$2:$G$100,$B$3,Backlog!$I$2:$I$100,"Em andamento")+COUNTIFS(Backlog!$G$2:$G$100,$B$3,Backlog!$I$2:$I$100,"Em revisão")</x:f>
        <x:v>0</x:v>
      </x:c>
      <x:c r="D29" s="1268" t="n">
        <x:f>COUNTIFS(Backlog!$G$2:$G$100,$B$3,Backlog!$I$2:$I$100,"Bloqueado")</x:f>
        <x:v>0</x:v>
      </x:c>
      <x:c r="E29" s="1268" t="n">
        <x:f>SUMIF(Backlog!$G$2:$G$100,$B$3,Backlog!$L$2:$L$100)</x:f>
        <x:v>68</x:v>
      </x:c>
      <x:c r="F29" s="1275" t="n">
        <x:f>IF(A29=0,0,B29/A29)</x:f>
        <x:v>0</x:v>
      </x:c>
      <x:c r="G29" s="748"/>
      <x:c r="H29" s="749"/>
      <x:c r="I29" s="788"/>
      <x:c r="J29" s="789"/>
      <x:c r="K29" s="828"/>
      <x:c r="L29" s="82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</x:row>
    <x:row r="30" ht="24" customHeight="1">
      <x:c r="A30" s="602"/>
      <x:c r="B30" s="603"/>
      <x:c r="C30" s="676"/>
      <x:c r="D30" s="677"/>
      <x:c r="E30" s="710"/>
      <x:c r="F30" s="711"/>
      <x:c r="G30" s="750"/>
      <x:c r="H30" s="751"/>
      <x:c r="I30" s="790"/>
      <x:c r="J30" s="791"/>
      <x:c r="K30" s="830"/>
      <x:c r="L30" s="831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</x:row>
    <x:row r="31" ht="24" customHeight="1">
      <x:c r="A31" s="550"/>
      <x:c r="B31" s="551"/>
      <x:c r="C31" s="660"/>
      <x:c r="D31" s="661"/>
      <x:c r="E31" s="712"/>
      <x:c r="F31" s="713"/>
      <x:c r="G31" s="752"/>
      <x:c r="H31" s="753"/>
      <x:c r="I31" s="792"/>
      <x:c r="J31" s="793"/>
      <x:c r="K31" s="832"/>
      <x:c r="L31" s="833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</x:row>
    <x:row r="32" ht="8" customHeight="1">
      <x:c r="A32" s="291"/>
      <x:c r="B32" s="292"/>
      <x:c r="C32" s="291"/>
      <x:c r="D32" s="292"/>
      <x:c r="E32" s="291"/>
      <x:c r="F32" s="292"/>
      <x:c r="G32" s="291"/>
      <x:c r="H32" s="292"/>
      <x:c r="I32" s="291"/>
      <x:c r="J32" s="292"/>
      <x:c r="K32" s="291"/>
      <x:c r="L32" s="292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</x:row>
    <x:row r="33" ht="24" customHeight="1">
      <x:c r="A33" s="620"/>
      <x:c r="B33" s="621"/>
      <x:c r="C33" s="674"/>
      <x:c r="D33" s="675"/>
      <x:c r="E33" s="718"/>
      <x:c r="F33" s="719"/>
      <x:c r="G33" s="758"/>
      <x:c r="H33" s="759"/>
      <x:c r="I33" s="798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"&amp;Backlog!$K$2:$K$100),(Backlog!$I$2:$I$100="Bloqueado")*(Backlog!$G$2:$G$100=$C$3)),6),"")</x:f>
      </x:c>
      <x:c r="J33" s="799"/>
      <x:c r="K33" s="838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"&amp;Backlog!$K$2:$K$100),(Backlog!$I$2:$I$100="Concluído")*(Backlog!$G$2:$G$100=$C$3)),6),"")</x:f>
      </x:c>
      <x:c r="L33" s="83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</x:row>
    <x:row r="34" ht="24" customHeight="1">
      <x:c r="A34" s="548"/>
      <x:c r="B34" s="549"/>
      <x:c r="C34" s="676"/>
      <x:c r="D34" s="677"/>
      <x:c r="E34" s="710"/>
      <x:c r="F34" s="711"/>
      <x:c r="G34" s="750"/>
      <x:c r="H34" s="751"/>
      <x:c r="I34" s="790"/>
      <x:c r="J34" s="791"/>
      <x:c r="K34" s="830"/>
      <x:c r="L34" s="831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</x:row>
    <x:row r="35" ht="24" customHeight="1">
      <x:c r="A35" s="584"/>
      <x:c r="B35" s="585"/>
      <x:c r="C35" s="678"/>
      <x:c r="D35" s="679"/>
      <x:c r="E35" s="708"/>
      <x:c r="F35" s="709"/>
      <x:c r="G35" s="748"/>
      <x:c r="H35" s="749"/>
      <x:c r="I35" s="788"/>
      <x:c r="J35" s="789"/>
      <x:c r="K35" s="828"/>
      <x:c r="L35" s="82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</x:row>
    <x:row r="36" ht="24" customHeight="1">
      <x:c r="A36" s="622"/>
      <x:c r="B36" s="623"/>
      <x:c r="C36" s="680"/>
      <x:c r="D36" s="681"/>
      <x:c r="E36" s="720"/>
      <x:c r="F36" s="721"/>
      <x:c r="G36" s="760"/>
      <x:c r="H36" s="761"/>
      <x:c r="I36" s="800"/>
      <x:c r="J36" s="801"/>
      <x:c r="K36" s="840"/>
      <x:c r="L36" s="841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</x:row>
    <x:row r="37" ht="8" customHeight="1">
      <x:c r="A37" s="315"/>
      <x:c r="B37" s="316"/>
      <x:c r="C37" s="315"/>
      <x:c r="D37" s="316"/>
      <x:c r="E37" s="315"/>
      <x:c r="F37" s="316"/>
      <x:c r="G37" s="315"/>
      <x:c r="H37" s="316"/>
      <x:c r="I37" s="315"/>
      <x:c r="J37" s="316"/>
      <x:c r="K37" s="315"/>
      <x:c r="L37" s="316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</x:row>
    <x:row r="38" ht="24" customHeight="1">
      <x:c r="A38" s="544"/>
      <x:c r="B38" s="545"/>
      <x:c r="C38" s="654"/>
      <x:c r="D38" s="655"/>
      <x:c r="E38" s="706"/>
      <x:c r="F38" s="707"/>
      <x:c r="G38" s="746"/>
      <x:c r="H38" s="747"/>
      <x:c r="I38" s="786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"&amp;Backlog!$K$2:$K$100),(Backlog!$I$2:$I$100="Bloqueado")*(Backlog!$G$2:$G$100=$C$3)),7),"")</x:f>
      </x:c>
      <x:c r="J38" s="787"/>
      <x:c r="K38" s="826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"&amp;Backlog!$K$2:$K$100),(Backlog!$I$2:$I$100="Concluído")*(Backlog!$G$2:$G$100=$C$3)),7),"")</x:f>
      </x:c>
      <x:c r="L38" s="827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</x:row>
    <x:row r="39" ht="24" customHeight="1">
      <x:c r="A39" s="546"/>
      <x:c r="B39" s="547"/>
      <x:c r="C39" s="678"/>
      <x:c r="D39" s="679"/>
      <x:c r="E39" s="708"/>
      <x:c r="F39" s="709"/>
      <x:c r="G39" s="748"/>
      <x:c r="H39" s="749"/>
      <x:c r="I39" s="788"/>
      <x:c r="J39" s="789"/>
      <x:c r="K39" s="828"/>
      <x:c r="L39" s="82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</x:row>
    <x:row r="40" ht="24" customHeight="1">
      <x:c r="A40" s="548"/>
      <x:c r="B40" s="549"/>
      <x:c r="C40" s="676"/>
      <x:c r="D40" s="677"/>
      <x:c r="E40" s="710"/>
      <x:c r="F40" s="711"/>
      <x:c r="G40" s="750"/>
      <x:c r="H40" s="751"/>
      <x:c r="I40" s="790"/>
      <x:c r="J40" s="791"/>
      <x:c r="K40" s="830"/>
      <x:c r="L40" s="831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</x:row>
    <x:row r="41" ht="24" customHeight="1">
      <x:c r="A41" s="550"/>
      <x:c r="B41" s="551"/>
      <x:c r="C41" s="660"/>
      <x:c r="D41" s="661"/>
      <x:c r="E41" s="712"/>
      <x:c r="F41" s="713"/>
      <x:c r="G41" s="752"/>
      <x:c r="H41" s="753"/>
      <x:c r="I41" s="792"/>
      <x:c r="J41" s="793"/>
      <x:c r="K41" s="832"/>
      <x:c r="L41" s="833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</x:row>
    <x:row r="42" ht="8" customHeight="1">
      <x:c r="A42" s="624"/>
      <x:c r="B42" s="625"/>
      <x:c r="C42" s="682"/>
      <x:c r="D42" s="683"/>
      <x:c r="E42" s="722"/>
      <x:c r="F42" s="723"/>
      <x:c r="G42" s="762"/>
      <x:c r="H42" s="763"/>
      <x:c r="I42" s="802"/>
      <x:c r="J42" s="803"/>
      <x:c r="K42" s="842"/>
      <x:c r="L42" s="843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</x:row>
    <x:row r="43" ht="24" customHeight="1">
      <x:c r="A43" s="566"/>
      <x:c r="B43" s="567"/>
      <x:c r="C43" s="674"/>
      <x:c r="D43" s="675"/>
      <x:c r="E43" s="718"/>
      <x:c r="F43" s="719"/>
      <x:c r="G43" s="758"/>
      <x:c r="H43" s="759"/>
      <x:c r="I43" s="798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"&amp;Backlog!$K$2:$K$100),(Backlog!$I$2:$I$100="Bloqueado")*(Backlog!$G$2:$G$100=$C$3)),8),"")</x:f>
      </x:c>
      <x:c r="J43" s="799"/>
      <x:c r="K43" s="838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"&amp;Backlog!$K$2:$K$100),(Backlog!$I$2:$I$100="Concluído")*(Backlog!$G$2:$G$100=$C$3)),8),"")</x:f>
      </x:c>
      <x:c r="L43" s="83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</x:row>
    <x:row r="44" ht="24" customHeight="1">
      <x:c r="A44" s="568"/>
      <x:c r="B44" s="569"/>
      <x:c r="C44" s="676"/>
      <x:c r="D44" s="677"/>
      <x:c r="E44" s="710"/>
      <x:c r="F44" s="711"/>
      <x:c r="G44" s="750"/>
      <x:c r="H44" s="751"/>
      <x:c r="I44" s="790"/>
      <x:c r="J44" s="791"/>
      <x:c r="K44" s="830"/>
      <x:c r="L44" s="831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</x:row>
    <x:row r="45" ht="24" customHeight="1">
      <x:c r="A45" s="546"/>
      <x:c r="B45" s="547"/>
      <x:c r="C45" s="678"/>
      <x:c r="D45" s="679"/>
      <x:c r="E45" s="708"/>
      <x:c r="F45" s="709"/>
      <x:c r="G45" s="748"/>
      <x:c r="H45" s="749"/>
      <x:c r="I45" s="788"/>
      <x:c r="J45" s="789"/>
      <x:c r="K45" s="828"/>
      <x:c r="L45" s="82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</x:row>
    <x:row r="46" ht="24" customHeight="1">
      <x:c r="A46" s="570"/>
      <x:c r="B46" s="571"/>
      <x:c r="C46" s="680"/>
      <x:c r="D46" s="681"/>
      <x:c r="E46" s="720"/>
      <x:c r="F46" s="721"/>
      <x:c r="G46" s="760"/>
      <x:c r="H46" s="761"/>
      <x:c r="I46" s="800"/>
      <x:c r="J46" s="801"/>
      <x:c r="K46" s="840"/>
      <x:c r="L46" s="841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</x:row>
    <x:row r="47" ht="8" customHeight="1">
      <x:c r="A47" s="628"/>
      <x:c r="B47" s="629"/>
      <x:c r="C47" s="684"/>
      <x:c r="D47" s="685"/>
      <x:c r="E47" s="724"/>
      <x:c r="F47" s="725"/>
      <x:c r="G47" s="764"/>
      <x:c r="H47" s="765"/>
      <x:c r="I47" s="804"/>
      <x:c r="J47" s="805"/>
      <x:c r="K47" s="844"/>
      <x:c r="L47" s="845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</x:row>
    <x:row r="48" ht="24" customHeight="1">
      <x:c r="A48" s="582"/>
      <x:c r="B48" s="583"/>
      <x:c r="C48" s="654"/>
      <x:c r="D48" s="655"/>
      <x:c r="E48" s="706"/>
      <x:c r="F48" s="707"/>
      <x:c r="G48" s="746"/>
      <x:c r="H48" s="747"/>
      <x:c r="I48" s="786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"&amp;Backlog!$K$2:$K$100),(Backlog!$I$2:$I$100="Bloqueado")*(Backlog!$G$2:$G$100=$C$3)),9),"")</x:f>
      </x:c>
      <x:c r="J48" s="787"/>
      <x:c r="K48" s="826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"&amp;Backlog!$K$2:$K$100),(Backlog!$I$2:$I$100="Concluído")*(Backlog!$G$2:$G$100=$C$3)),9),"")</x:f>
      </x:c>
      <x:c r="L48" s="827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</x:row>
    <x:row r="49" ht="24" customHeight="1">
      <x:c r="A49" s="584"/>
      <x:c r="B49" s="585"/>
      <x:c r="C49" s="678"/>
      <x:c r="D49" s="679"/>
      <x:c r="E49" s="708"/>
      <x:c r="F49" s="709"/>
      <x:c r="G49" s="748"/>
      <x:c r="H49" s="749"/>
      <x:c r="I49" s="788"/>
      <x:c r="J49" s="789"/>
      <x:c r="K49" s="828"/>
      <x:c r="L49" s="82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</x:row>
    <x:row r="50" ht="24" customHeight="1">
      <x:c r="A50" s="568"/>
      <x:c r="B50" s="569"/>
      <x:c r="C50" s="676"/>
      <x:c r="D50" s="677"/>
      <x:c r="E50" s="710"/>
      <x:c r="F50" s="711"/>
      <x:c r="G50" s="750"/>
      <x:c r="H50" s="751"/>
      <x:c r="I50" s="790"/>
      <x:c r="J50" s="791"/>
      <x:c r="K50" s="830"/>
      <x:c r="L50" s="831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</x:row>
    <x:row r="51" ht="24" customHeight="1">
      <x:c r="A51" s="586"/>
      <x:c r="B51" s="587"/>
      <x:c r="C51" s="660"/>
      <x:c r="D51" s="661"/>
      <x:c r="E51" s="712"/>
      <x:c r="F51" s="713"/>
      <x:c r="G51" s="752"/>
      <x:c r="H51" s="753"/>
      <x:c r="I51" s="792"/>
      <x:c r="J51" s="793"/>
      <x:c r="K51" s="832"/>
      <x:c r="L51" s="833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</x:row>
    <x:row r="52" ht="8" customHeight="1">
      <x:c r="A52" s="335"/>
      <x:c r="B52" s="336"/>
      <x:c r="C52" s="291"/>
      <x:c r="D52" s="292"/>
      <x:c r="E52" s="291"/>
      <x:c r="F52" s="292"/>
      <x:c r="G52" s="291"/>
      <x:c r="H52" s="292"/>
      <x:c r="I52" s="291"/>
      <x:c r="J52" s="292"/>
      <x:c r="K52" s="291"/>
      <x:c r="L52" s="292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</x:row>
    <x:row r="53" ht="24" customHeight="1">
      <x:c r="A53" s="566"/>
      <x:c r="B53" s="567"/>
      <x:c r="C53" s="674"/>
      <x:c r="D53" s="675"/>
      <x:c r="E53" s="718"/>
      <x:c r="F53" s="719"/>
      <x:c r="G53" s="758"/>
      <x:c r="H53" s="759"/>
      <x:c r="I53" s="798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"&amp;Backlog!$K$2:$K$100),(Backlog!$I$2:$I$100="Bloqueado")*(Backlog!$G$2:$G$100=$C$3)),10),"")</x:f>
      </x:c>
      <x:c r="J53" s="799"/>
      <x:c r="K53" s="838" t="str">
        <x:f>IFERROR(INDEX(_xlfn._xlws.FILTER(Backlog!$A$2:$A$100&amp;"  |  "&amp;Backlog!$C$2:$C$100&amp;CHAR(10)&amp;Backlog!$B$2:$B$100&amp;"  •  "&amp;Backlog!$H$2:$H$100&amp;CHAR(10)&amp;Backlog!$J$2:$J$100&amp;IF(Backlog!$K$2:$K$100="-","",CHAR(10)&amp;"Dep.: "&amp;Backlog!$K$2:$K$100),(Backlog!$I$2:$I$100="Concluído")*(Backlog!$G$2:$G$100=$C$3)),10),"")</x:f>
      </x:c>
      <x:c r="L53" s="83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</x:row>
    <x:row r="54" ht="24" customHeight="1">
      <x:c r="A54" s="602"/>
      <x:c r="B54" s="603"/>
      <x:c r="C54" s="676"/>
      <x:c r="D54" s="677"/>
      <x:c r="E54" s="710"/>
      <x:c r="F54" s="711"/>
      <x:c r="G54" s="750"/>
      <x:c r="H54" s="751"/>
      <x:c r="I54" s="790"/>
      <x:c r="J54" s="791"/>
      <x:c r="K54" s="830"/>
      <x:c r="L54" s="831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</x:row>
    <x:row r="55" ht="24" customHeight="1">
      <x:c r="A55" s="584"/>
      <x:c r="B55" s="585"/>
      <x:c r="C55" s="678"/>
      <x:c r="D55" s="679"/>
      <x:c r="E55" s="708"/>
      <x:c r="F55" s="709"/>
      <x:c r="G55" s="748"/>
      <x:c r="H55" s="749"/>
      <x:c r="I55" s="788"/>
      <x:c r="J55" s="789"/>
      <x:c r="K55" s="828"/>
      <x:c r="L55" s="82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</x:row>
    <x:row r="56" ht="24" customHeight="1">
      <x:c r="A56" s="570"/>
      <x:c r="B56" s="571"/>
      <x:c r="C56" s="680"/>
      <x:c r="D56" s="681"/>
      <x:c r="E56" s="720"/>
      <x:c r="F56" s="721"/>
      <x:c r="G56" s="760"/>
      <x:c r="H56" s="761"/>
      <x:c r="I56" s="800"/>
      <x:c r="J56" s="801"/>
      <x:c r="K56" s="840"/>
      <x:c r="L56" s="841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</x:row>
    <x:row r="57" ht="8" customHeight="1">
      <x:c r="A57" s="293"/>
      <x:c r="B57" s="294"/>
      <x:c r="C57" s="315"/>
      <x:c r="D57" s="316"/>
      <x:c r="E57" s="315"/>
      <x:c r="F57" s="316"/>
      <x:c r="G57" s="315"/>
      <x:c r="H57" s="316"/>
      <x:c r="I57" s="315"/>
      <x:c r="J57" s="316"/>
      <x:c r="K57" s="315"/>
      <x:c r="L57" s="316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</x:row>
    <x:row r="58" ht="22" customHeight="1">
      <x:c r="A58" s="305"/>
      <x:c r="B58" s="306"/>
      <x:c r="C58" s="377"/>
      <x:c r="D58" s="378"/>
      <x:c r="E58" s="389"/>
      <x:c r="F58" s="390"/>
      <x:c r="G58" s="403"/>
      <x:c r="H58" s="404"/>
      <x:c r="I58" s="417"/>
      <x:c r="J58" s="418"/>
      <x:c r="K58" s="431"/>
      <x:c r="L58" s="432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</x:row>
    <x:row r="59" ht="24" customHeight="1">
      <x:c r="A59" s="860"/>
      <x:c r="B59" s="861"/>
      <x:c r="C59" s="860"/>
      <x:c r="D59" s="861"/>
      <x:c r="E59" s="860"/>
      <x:c r="F59" s="861"/>
      <x:c r="G59" s="860"/>
      <x:c r="H59" s="861"/>
      <x:c r="I59" s="860"/>
      <x:c r="J59" s="861"/>
      <x:c r="K59" s="860"/>
      <x:c r="L59" s="861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</x:row>
    <x:row r="60" ht="22" customHeight="1">
      <x:c r="A60" s="866"/>
      <x:c r="B60" s="867"/>
      <x:c r="C60" s="872"/>
      <x:c r="D60" s="873"/>
      <x:c r="E60" s="872"/>
      <x:c r="F60" s="873"/>
      <x:c r="G60" s="872"/>
      <x:c r="H60" s="873"/>
      <x:c r="I60" s="872" t="str">
        <x:v>Pontos</x:v>
      </x:c>
      <x:c r="J60" s="873" t="str">
        <x:v>Pontos</x:v>
      </x:c>
      <x:c r="K60" s="872" t="str">
        <x:v>% concluído</x:v>
      </x:c>
      <x:c r="L60" s="873" t="str">
        <x:v>% concluído</x:v>
      </x:c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</x:row>
    <x:row r="61" ht="24" customHeight="1">
      <x:c r="A61" s="887"/>
      <x:c r="B61" s="888"/>
      <x:c r="C61" s="887"/>
      <x:c r="D61" s="888"/>
      <x:c r="E61" s="887"/>
      <x:c r="F61" s="888"/>
      <x:c r="G61" s="887"/>
      <x:c r="H61" s="888"/>
      <x:c r="I61" s="887" t="n">
        <x:f>SUMIF(Backlog!$G$2:$G$100,$C$3,Backlog!$L$2:$L$100)</x:f>
        <x:v>0</x:v>
      </x:c>
      <x:c r="J61" s="888"/>
      <x:c r="K61" s="893" t="n">
        <x:f>IF(A61=0,0,C61/A61)</x:f>
        <x:v>0</x:v>
      </x:c>
      <x:c r="L61" s="888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</x:row>
    <x:row r="62" ht="24" customHeight="1">
      <x:c r="A62" s="889"/>
      <x:c r="B62" s="890"/>
      <x:c r="C62" s="889"/>
      <x:c r="D62" s="890"/>
      <x:c r="E62" s="889"/>
      <x:c r="F62" s="890"/>
      <x:c r="G62" s="889"/>
      <x:c r="H62" s="890"/>
      <x:c r="I62" s="889"/>
      <x:c r="J62" s="890"/>
      <x:c r="K62" s="889"/>
      <x:c r="L62" s="890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</x:row>
    <x:row r="63" ht="22" customHeight="1">
      <x:c r="A63" s="329"/>
      <x:c r="B63" s="330"/>
      <x:c r="C63" s="351"/>
      <x:c r="D63" s="352"/>
      <x:c r="E63" s="391"/>
      <x:c r="F63" s="392"/>
      <x:c r="G63" s="405"/>
      <x:c r="H63" s="406"/>
      <x:c r="I63" s="419"/>
      <x:c r="J63" s="420"/>
      <x:c r="K63" s="433"/>
      <x:c r="L63" s="434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</x:row>
    <x:row r="64" ht="22" customHeight="1">
      <x:c r="A64" s="335"/>
      <x:c r="B64" s="336"/>
      <x:c r="C64" s="291"/>
      <x:c r="D64" s="292"/>
      <x:c r="E64" s="291"/>
      <x:c r="F64" s="292"/>
      <x:c r="G64" s="291"/>
      <x:c r="H64" s="292"/>
      <x:c r="I64" s="291"/>
      <x:c r="J64" s="292"/>
      <x:c r="K64" s="291"/>
      <x:c r="L64" s="292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</x:row>
    <x:row r="65" ht="22" customHeight="1">
      <x:c r="A65" s="315"/>
      <x:c r="B65" s="316"/>
      <x:c r="C65" s="315"/>
      <x:c r="D65" s="316"/>
      <x:c r="E65" s="315"/>
      <x:c r="F65" s="316"/>
      <x:c r="G65" s="315"/>
      <x:c r="H65" s="316"/>
      <x:c r="I65" s="315"/>
      <x:c r="J65" s="316"/>
      <x:c r="K65" s="315"/>
      <x:c r="L65" s="316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</x:row>
    <x:row r="66">
      <x:c r="A66" s="156"/>
      <x:c r="B66" s="157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</x:row>
    <x:row r="67">
      <x:c r="A67" s="164"/>
      <x:c r="B67" s="165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</x:row>
    <x:row r="68">
      <x:c r="A68" s="168"/>
      <x:c r="B68" s="168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</x:row>
    <x:row r="69">
      <x:c r="A69" s="156"/>
      <x:c r="B69" s="157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</x:row>
    <x:row r="70">
      <x:c r="A70" s="164"/>
      <x:c r="B70" s="165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</x:row>
    <x:row r="71">
      <x:c r="A71" s="168"/>
      <x:c r="B71" s="168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</x:row>
    <x:row r="72">
      <x:c r="A72" s="171"/>
      <x:c r="B72" s="171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</x:row>
    <x:row r="73">
      <x:c r="A73" s="86"/>
      <x:c r="B73" s="86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</x:row>
    <x:row r="75">
      <x:c r="A75" s="84"/>
      <x:c r="B75" s="84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</x:row>
    <x:row r="76">
      <x:c r="A76" s="86"/>
      <x:c r="B76" s="86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</x:row>
    <x:row r="78">
      <x:c r="A78" s="84"/>
      <x:c r="B78" s="84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</x:row>
    <x:row r="79">
      <x:c r="A79" s="86"/>
      <x:c r="B79" s="86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</x:row>
    <x:row r="81">
      <x:c r="A81" s="84"/>
      <x:c r="B81" s="84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</x:row>
    <x:row r="82">
      <x:c r="A82" s="86"/>
      <x:c r="B82" s="86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</x:row>
    <x:row r="84">
      <x:c r="A84" s="84"/>
      <x:c r="B84" s="84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</x:row>
    <x:row r="85">
      <x:c r="A85" s="86"/>
      <x:c r="B85" s="86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</x:row>
    <x:row r="87">
      <x:c r="A87" s="84"/>
      <x:c r="B87" s="84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</x:row>
    <x:row r="88">
      <x:c r="A88" s="86"/>
      <x:c r="B88" s="86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</x:row>
    <x:row r="90">
      <x:c r="A90" s="84"/>
      <x:c r="B90" s="84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</x:row>
    <x:row r="91">
      <x:c r="A91" s="86"/>
      <x:c r="B91" s="86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</x:row>
    <x:row r="93">
      <x:c r="A93" s="84"/>
      <x:c r="B93" s="84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</x:row>
    <x:row r="94">
      <x:c r="A94" s="86"/>
      <x:c r="B94" s="86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</x:row>
  </x:sheetData>
  <x:mergeCells>
    <x:mergeCell ref="A1:L2"/>
    <x:mergeCell ref="A5:B5"/>
    <x:mergeCell ref="C5:D5"/>
    <x:mergeCell ref="E5:F5"/>
    <x:mergeCell ref="G5:H5"/>
    <x:mergeCell ref="I5:J5"/>
    <x:mergeCell ref="K5:L5"/>
    <x:mergeCell ref="A6:B6"/>
    <x:mergeCell ref="A7:B7"/>
    <x:mergeCell ref="A9:B9"/>
    <x:mergeCell ref="A10:B10"/>
    <x:mergeCell ref="A12:B12"/>
    <x:mergeCell ref="A13:B13"/>
    <x:mergeCell ref="A15:B15"/>
    <x:mergeCell ref="A16:B16"/>
    <x:mergeCell ref="A18:B18"/>
    <x:mergeCell ref="A19:B19"/>
    <x:mergeCell ref="A21:B21"/>
    <x:mergeCell ref="A22:B22"/>
    <x:mergeCell ref="A24:B24"/>
    <x:mergeCell ref="A25:B25"/>
    <x:mergeCell ref="A27:B27"/>
    <x:mergeCell ref="A28:B28"/>
    <x:mergeCell ref="A30:B30"/>
    <x:mergeCell ref="A31:B31"/>
    <x:mergeCell ref="A33:B33"/>
    <x:mergeCell ref="A34:B34"/>
    <x:mergeCell ref="A36:B36"/>
    <x:mergeCell ref="A37:B37"/>
    <x:mergeCell ref="A39:B39"/>
    <x:mergeCell ref="A40:B40"/>
    <x:mergeCell ref="A42:B42"/>
    <x:mergeCell ref="A43:B43"/>
    <x:mergeCell ref="A45:B45"/>
    <x:mergeCell ref="A46:B46"/>
    <x:mergeCell ref="A48:B48"/>
    <x:mergeCell ref="A49:B49"/>
    <x:mergeCell ref="A51:B51"/>
    <x:mergeCell ref="A52:B52"/>
    <x:mergeCell ref="A54:B54"/>
    <x:mergeCell ref="A55:B55"/>
    <x:mergeCell ref="A57:B57"/>
    <x:mergeCell ref="A58:B58"/>
    <x:mergeCell ref="A60:B60"/>
    <x:mergeCell ref="A61:B61"/>
    <x:mergeCell ref="A63:B63"/>
    <x:mergeCell ref="A64:B64"/>
    <x:mergeCell ref="A66:B66"/>
    <x:mergeCell ref="A67:B67"/>
    <x:mergeCell ref="A69:B69"/>
    <x:mergeCell ref="A70:B70"/>
    <x:mergeCell ref="A72:B72"/>
    <x:mergeCell ref="A73:B73"/>
    <x:mergeCell ref="A75:B75"/>
    <x:mergeCell ref="A76:B76"/>
    <x:mergeCell ref="A78:B78"/>
    <x:mergeCell ref="A79:B79"/>
    <x:mergeCell ref="A81:B81"/>
    <x:mergeCell ref="A82:B82"/>
    <x:mergeCell ref="A84:B84"/>
    <x:mergeCell ref="A85:B85"/>
    <x:mergeCell ref="A87:B87"/>
    <x:mergeCell ref="A88:B88"/>
    <x:mergeCell ref="A90:B90"/>
    <x:mergeCell ref="A91:B91"/>
    <x:mergeCell ref="A93:B93"/>
    <x:mergeCell ref="A94:B94"/>
    <x:mergeCell ref="C6:D6"/>
    <x:mergeCell ref="C7:D7"/>
    <x:mergeCell ref="C9:D9"/>
    <x:mergeCell ref="C10:D10"/>
    <x:mergeCell ref="A3:L3"/>
    <x:mergeCell ref="A8:B8"/>
    <x:mergeCell ref="A11:B11"/>
    <x:mergeCell ref="A14:B14"/>
    <x:mergeCell ref="A17:B17"/>
    <x:mergeCell ref="A20:B20"/>
    <x:mergeCell ref="A23:B23"/>
    <x:mergeCell ref="A26:B26"/>
    <x:mergeCell ref="A29:B29"/>
    <x:mergeCell ref="A32:B32"/>
    <x:mergeCell ref="A35:B35"/>
    <x:mergeCell ref="A38:B38"/>
    <x:mergeCell ref="A41:B41"/>
    <x:mergeCell ref="A44:B44"/>
    <x:mergeCell ref="A47:B47"/>
    <x:mergeCell ref="A50:B50"/>
    <x:mergeCell ref="A53:B53"/>
    <x:mergeCell ref="A56:B56"/>
    <x:mergeCell ref="A59:B59"/>
    <x:mergeCell ref="A62:B62"/>
    <x:mergeCell ref="A65:B65"/>
    <x:mergeCell ref="A68:B68"/>
    <x:mergeCell ref="A71:B71"/>
    <x:mergeCell ref="C8:D8"/>
    <x:mergeCell ref="C11:D11"/>
    <x:mergeCell ref="A6:B7"/>
    <x:mergeCell ref="A8:B9"/>
    <x:mergeCell ref="A10:B11"/>
    <x:mergeCell ref="A12:B13"/>
    <x:mergeCell ref="A14:B15"/>
    <x:mergeCell ref="A16:B17"/>
    <x:mergeCell ref="A18:B19"/>
    <x:mergeCell ref="A20:B21"/>
    <x:mergeCell ref="A22:B23"/>
    <x:mergeCell ref="A24:B25"/>
    <x:mergeCell ref="A26:B27"/>
    <x:mergeCell ref="A28:B29"/>
    <x:mergeCell ref="A30:B31"/>
    <x:mergeCell ref="A32:B33"/>
    <x:mergeCell ref="A34:B35"/>
    <x:mergeCell ref="A36:B37"/>
    <x:mergeCell ref="A38:B39"/>
    <x:mergeCell ref="A40:B41"/>
    <x:mergeCell ref="A42:B43"/>
    <x:mergeCell ref="A44:B45"/>
    <x:mergeCell ref="A46:B47"/>
    <x:mergeCell ref="A48:B49"/>
    <x:mergeCell ref="A50:B51"/>
    <x:mergeCell ref="A52:B53"/>
    <x:mergeCell ref="A54:B55"/>
    <x:mergeCell ref="A56:B57"/>
    <x:mergeCell ref="A58:B59"/>
    <x:mergeCell ref="A60:B61"/>
    <x:mergeCell ref="A62:B63"/>
    <x:mergeCell ref="A64:B65"/>
    <x:mergeCell ref="C6:D7"/>
    <x:mergeCell ref="C8:D9"/>
    <x:mergeCell ref="C10:D11"/>
    <x:mergeCell ref="C12:D13"/>
    <x:mergeCell ref="C14:D15"/>
    <x:mergeCell ref="C16:D17"/>
    <x:mergeCell ref="C18:D19"/>
    <x:mergeCell ref="C20:D21"/>
    <x:mergeCell ref="C22:D23"/>
    <x:mergeCell ref="C24:D25"/>
    <x:mergeCell ref="C26:D27"/>
    <x:mergeCell ref="C28:D29"/>
    <x:mergeCell ref="C30:D31"/>
    <x:mergeCell ref="C32:D33"/>
    <x:mergeCell ref="C34:D35"/>
    <x:mergeCell ref="C36:D37"/>
    <x:mergeCell ref="C38:D39"/>
    <x:mergeCell ref="C40:D41"/>
    <x:mergeCell ref="C42:D43"/>
    <x:mergeCell ref="C44:D45"/>
    <x:mergeCell ref="C46:D47"/>
    <x:mergeCell ref="C48:D49"/>
    <x:mergeCell ref="C50:D51"/>
    <x:mergeCell ref="C52:D53"/>
    <x:mergeCell ref="C54:D55"/>
    <x:mergeCell ref="C56:D57"/>
    <x:mergeCell ref="C58:D59"/>
    <x:mergeCell ref="C60:D61"/>
    <x:mergeCell ref="C62:D63"/>
    <x:mergeCell ref="C64:D65"/>
    <x:mergeCell ref="E6:F7"/>
    <x:mergeCell ref="E8:F9"/>
    <x:mergeCell ref="E10:F11"/>
    <x:mergeCell ref="E12:F13"/>
    <x:mergeCell ref="E14:F15"/>
    <x:mergeCell ref="E16:F17"/>
    <x:mergeCell ref="E18:F19"/>
    <x:mergeCell ref="E20:F21"/>
    <x:mergeCell ref="E22:F23"/>
    <x:mergeCell ref="E24:F25"/>
    <x:mergeCell ref="E26:F27"/>
    <x:mergeCell ref="E28:F29"/>
    <x:mergeCell ref="E30:F31"/>
    <x:mergeCell ref="E32:F33"/>
    <x:mergeCell ref="E34:F35"/>
    <x:mergeCell ref="E36:F37"/>
    <x:mergeCell ref="E38:F39"/>
    <x:mergeCell ref="E40:F41"/>
    <x:mergeCell ref="E42:F43"/>
    <x:mergeCell ref="E44:F45"/>
    <x:mergeCell ref="E46:F47"/>
    <x:mergeCell ref="E48:F49"/>
    <x:mergeCell ref="E50:F51"/>
    <x:mergeCell ref="E52:F53"/>
    <x:mergeCell ref="E54:F55"/>
    <x:mergeCell ref="E56:F57"/>
    <x:mergeCell ref="E58:F59"/>
    <x:mergeCell ref="E60:F61"/>
    <x:mergeCell ref="E62:F63"/>
    <x:mergeCell ref="E64:F65"/>
    <x:mergeCell ref="G6:H7"/>
    <x:mergeCell ref="G8:H9"/>
    <x:mergeCell ref="G10:H11"/>
    <x:mergeCell ref="G12:H13"/>
    <x:mergeCell ref="G14:H15"/>
    <x:mergeCell ref="G16:H17"/>
    <x:mergeCell ref="G18:H19"/>
    <x:mergeCell ref="G20:H21"/>
    <x:mergeCell ref="G22:H23"/>
    <x:mergeCell ref="G24:H25"/>
    <x:mergeCell ref="G26:H27"/>
    <x:mergeCell ref="G28:H29"/>
    <x:mergeCell ref="G30:H31"/>
    <x:mergeCell ref="G32:H33"/>
    <x:mergeCell ref="G34:H35"/>
    <x:mergeCell ref="G36:H37"/>
    <x:mergeCell ref="G38:H39"/>
    <x:mergeCell ref="G40:H41"/>
    <x:mergeCell ref="G42:H43"/>
    <x:mergeCell ref="G44:H45"/>
    <x:mergeCell ref="G46:H47"/>
    <x:mergeCell ref="G48:H49"/>
    <x:mergeCell ref="G50:H51"/>
    <x:mergeCell ref="G52:H53"/>
    <x:mergeCell ref="G54:H55"/>
    <x:mergeCell ref="G56:H57"/>
    <x:mergeCell ref="G58:H59"/>
    <x:mergeCell ref="G60:H61"/>
    <x:mergeCell ref="G62:H63"/>
    <x:mergeCell ref="G64:H65"/>
    <x:mergeCell ref="I6:J7"/>
    <x:mergeCell ref="I8:J9"/>
    <x:mergeCell ref="I10:J11"/>
    <x:mergeCell ref="I12:J13"/>
    <x:mergeCell ref="I14:J15"/>
    <x:mergeCell ref="I16:J17"/>
    <x:mergeCell ref="I18:J19"/>
    <x:mergeCell ref="I20:J21"/>
    <x:mergeCell ref="I22:J23"/>
    <x:mergeCell ref="I24:J25"/>
    <x:mergeCell ref="I26:J27"/>
    <x:mergeCell ref="I28:J29"/>
    <x:mergeCell ref="I30:J31"/>
    <x:mergeCell ref="I32:J33"/>
    <x:mergeCell ref="I34:J35"/>
    <x:mergeCell ref="I36:J37"/>
    <x:mergeCell ref="I38:J39"/>
    <x:mergeCell ref="I40:J41"/>
    <x:mergeCell ref="I42:J43"/>
    <x:mergeCell ref="I44:J45"/>
    <x:mergeCell ref="I46:J47"/>
    <x:mergeCell ref="I48:J49"/>
    <x:mergeCell ref="I50:J51"/>
    <x:mergeCell ref="I52:J53"/>
    <x:mergeCell ref="I54:J55"/>
    <x:mergeCell ref="I56:J57"/>
    <x:mergeCell ref="I58:J59"/>
    <x:mergeCell ref="I60:J61"/>
    <x:mergeCell ref="I62:J63"/>
    <x:mergeCell ref="I64:J65"/>
    <x:mergeCell ref="K6:L7"/>
    <x:mergeCell ref="K8:L9"/>
    <x:mergeCell ref="K10:L11"/>
    <x:mergeCell ref="K12:L13"/>
    <x:mergeCell ref="K14:L15"/>
    <x:mergeCell ref="K16:L17"/>
    <x:mergeCell ref="K18:L19"/>
    <x:mergeCell ref="K20:L21"/>
    <x:mergeCell ref="K22:L23"/>
    <x:mergeCell ref="K24:L25"/>
    <x:mergeCell ref="K26:L27"/>
    <x:mergeCell ref="K28:L29"/>
    <x:mergeCell ref="K30:L31"/>
    <x:mergeCell ref="K32:L33"/>
    <x:mergeCell ref="K34:L35"/>
    <x:mergeCell ref="K36:L37"/>
    <x:mergeCell ref="K38:L39"/>
    <x:mergeCell ref="K40:L41"/>
    <x:mergeCell ref="K42:L43"/>
    <x:mergeCell ref="K44:L45"/>
    <x:mergeCell ref="K46:L47"/>
    <x:mergeCell ref="K48:L49"/>
    <x:mergeCell ref="K50:L51"/>
    <x:mergeCell ref="K52:L53"/>
    <x:mergeCell ref="K54:L55"/>
    <x:mergeCell ref="K56:L57"/>
    <x:mergeCell ref="K58:L59"/>
    <x:mergeCell ref="K60:L61"/>
    <x:mergeCell ref="K62:L63"/>
    <x:mergeCell ref="K64:L65"/>
    <x:mergeCell ref="A3:B3"/>
    <x:mergeCell ref="C3:D3"/>
    <x:mergeCell ref="E3:L3"/>
    <x:mergeCell ref="A5:B6"/>
    <x:mergeCell ref="C5:D6"/>
    <x:mergeCell ref="E5:F6"/>
    <x:mergeCell ref="G5:H6"/>
    <x:mergeCell ref="I5:J6"/>
    <x:mergeCell ref="K5:L6"/>
    <x:mergeCell ref="A8:B11"/>
    <x:mergeCell ref="A13:B16"/>
    <x:mergeCell ref="A18:B21"/>
    <x:mergeCell ref="A23:B26"/>
    <x:mergeCell ref="A28:B31"/>
    <x:mergeCell ref="A33:B36"/>
    <x:mergeCell ref="A38:B41"/>
    <x:mergeCell ref="A43:B46"/>
    <x:mergeCell ref="A48:B51"/>
    <x:mergeCell ref="A53:B56"/>
    <x:mergeCell ref="C8:D11"/>
    <x:mergeCell ref="C13:D16"/>
    <x:mergeCell ref="C18:D21"/>
    <x:mergeCell ref="C23:D26"/>
    <x:mergeCell ref="C28:D31"/>
    <x:mergeCell ref="C33:D36"/>
    <x:mergeCell ref="C38:D41"/>
    <x:mergeCell ref="C43:D46"/>
    <x:mergeCell ref="C48:D51"/>
    <x:mergeCell ref="C53:D56"/>
    <x:mergeCell ref="E8:F11"/>
    <x:mergeCell ref="E13:F16"/>
    <x:mergeCell ref="E18:F21"/>
    <x:mergeCell ref="E23:F26"/>
    <x:mergeCell ref="E28:F31"/>
    <x:mergeCell ref="E33:F36"/>
    <x:mergeCell ref="E38:F41"/>
    <x:mergeCell ref="E43:F46"/>
    <x:mergeCell ref="E48:F51"/>
    <x:mergeCell ref="E53:F56"/>
    <x:mergeCell ref="G8:H11"/>
    <x:mergeCell ref="G13:H16"/>
    <x:mergeCell ref="G18:H21"/>
    <x:mergeCell ref="G23:H26"/>
    <x:mergeCell ref="G28:H31"/>
    <x:mergeCell ref="G33:H36"/>
    <x:mergeCell ref="G38:H41"/>
    <x:mergeCell ref="G43:H46"/>
    <x:mergeCell ref="G48:H51"/>
    <x:mergeCell ref="G53:H56"/>
    <x:mergeCell ref="I8:J11"/>
    <x:mergeCell ref="I13:J16"/>
    <x:mergeCell ref="I18:J21"/>
    <x:mergeCell ref="I23:J26"/>
    <x:mergeCell ref="I28:J31"/>
    <x:mergeCell ref="I33:J36"/>
    <x:mergeCell ref="I38:J41"/>
    <x:mergeCell ref="I43:J46"/>
    <x:mergeCell ref="I48:J51"/>
    <x:mergeCell ref="I53:J56"/>
    <x:mergeCell ref="K8:L11"/>
    <x:mergeCell ref="K13:L16"/>
    <x:mergeCell ref="K18:L21"/>
    <x:mergeCell ref="K23:L26"/>
    <x:mergeCell ref="K28:L31"/>
    <x:mergeCell ref="K33:L36"/>
    <x:mergeCell ref="K38:L41"/>
    <x:mergeCell ref="K43:L46"/>
    <x:mergeCell ref="K48:L51"/>
    <x:mergeCell ref="K53:L56"/>
    <x:mergeCell ref="A59:L59"/>
    <x:mergeCell ref="A61:B62"/>
    <x:mergeCell ref="C61:D62"/>
    <x:mergeCell ref="E61:F62"/>
    <x:mergeCell ref="G61:H62"/>
    <x:mergeCell ref="I61:J62"/>
    <x:mergeCell ref="K61:L62"/>
    <x:mergeCell ref="A1:F2"/>
    <x:mergeCell ref="C3:F3"/>
    <x:mergeCell ref="A27:F27"/>
  </x:mergeCells>
  <x:dataValidations count="2">
    <x:dataValidation type="list" sqref="C3:D3">
      <x:formula1>"S0,S1,S2,S3,S4,Beta,Estabilização"</x:formula1>
    </x:dataValidation>
    <x:dataValidation type="list" sqref="B3">
      <x:formula1>"S0,S1,S2,S3,S4,Beta,Estabilização"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42" hidden="0" customWidth="1"/>
    <x:col min="4" max="4" width="32" hidden="0" customWidth="1"/>
    <x:col min="5" max="5" width="25" hidden="0" customWidth="1"/>
    <x:col min="6" max="6" width="30" hidden="0" customWidth="1"/>
    <x:col min="7" max="7" width="14" hidden="0" customWidth="1"/>
    <x:col min="8" max="8" width="28" hidden="0" customWidth="1"/>
  </x:cols>
  <x:sheetData>
    <x:row r="1">
      <x:c r="A1" s="103" t="str">
        <x:v>PLANTEL V1 — F0 + 96 TAREFAS DE LANÇAMENTO; 3 ITENS 1.0.x FORA DO COMPROMISSO</x:v>
      </x:c>
      <x:c r="B1" s="103"/>
      <x:c r="C1" s="103"/>
      <x:c r="D1" s="103"/>
      <x:c r="E1" s="103"/>
      <x:c r="F1" s="103"/>
      <x:c r="G1" s="103"/>
      <x:c r="H1" s="103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2">
      <x:c r="A2" s="103"/>
      <x:c r="B2" s="103"/>
      <x:c r="C2" s="103"/>
      <x:c r="D2" s="103"/>
      <x:c r="E2" s="103"/>
      <x:c r="F2" s="103"/>
      <x:c r="G2" s="103"/>
      <x:c r="H2" s="103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</x:row>
    <x:row r="3">
      <x:c r="A3" s="214" t="str">
        <x:v>Somente entregas da V1. Futuras versões serão planejadas em novo backlog quando aprovadas.</x:v>
      </x:c>
      <x:c r="B3" s="214"/>
      <x:c r="C3" s="214"/>
      <x:c r="D3" s="214"/>
      <x:c r="E3" s="214"/>
      <x:c r="F3" s="214"/>
      <x:c r="G3" s="214"/>
      <x:c r="H3" s="214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</x:row>
    <x:row r="4">
      <x:c r="A4" s="72"/>
      <x:c r="B4" s="72"/>
      <x:c r="C4" s="72"/>
      <x:c r="D4" s="72"/>
      <x:c r="E4" s="72"/>
      <x:c r="F4" s="72"/>
      <x:c r="G4" s="72"/>
      <x:c r="H4" s="72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08" t="str">
        <x:v>Período</x:v>
      </x:c>
      <x:c r="B5" s="108" t="str">
        <x:v>Objetivo</x:v>
      </x:c>
      <x:c r="C5" s="108" t="str">
        <x:v>Principais entregas</x:v>
      </x:c>
      <x:c r="D5" s="108" t="str">
        <x:v>Marco de saída</x:v>
      </x:c>
      <x:c r="E5" s="108" t="str">
        <x:v>Riscos principais</x:v>
      </x:c>
      <x:c r="F5" s="108" t="str">
        <x:v>Responsáveis</x:v>
      </x:c>
      <x:c r="G5" s="108" t="str">
        <x:v>Status</x:v>
      </x:c>
      <x:c r="H5" s="108" t="str">
        <x:v>Observações</x:v>
      </x:c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</x:row>
    <x:row r="6">
      <x:c r="A6" s="71" t="str">
        <x:v>Mês 1 / S0</x:v>
      </x:c>
      <x:c r="B6" s="71" t="str">
        <x:v>Fundação</x:v>
      </x:c>
      <x:c r="C6" s="71" t="str">
        <x:v>Fundacao: repositorio unico, backend local, Supabase plantel-dev Free, migrations, Auth, CI; Render/Vercel Pro preparados para producao quando necessario</x:v>
      </x:c>
      <x:c r="D6" s="71" t="str">
        <x:v>Base pronta para features</x:v>
      </x:c>
      <x:c r="E6" s="71" t="str">
        <x:v>Auth/JWKS/ambientes</x:v>
      </x:c>
      <x:c r="F6" s="71" t="str">
        <x:v>Gabriel + Samuel + Pedro + Miqueias + Jurídico</x:v>
      </x:c>
      <x:c r="G6" s="71" t="str">
        <x:v>Backlog</x:v>
      </x:c>
      <x:c r="H6" s="71" t="str">
        <x:v>Piloto de produtividade com IA começa aqui.</x:v>
      </x:c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</x:row>
    <x:row r="7">
      <x:c r="A7" s="71" t="str">
        <x:v>Mês 2 / S1</x:v>
      </x:c>
      <x:c r="B7" s="71" t="str">
        <x:v>Sessões e social base</x:v>
      </x:c>
      <x:c r="C7" s="71" t="str">
        <x:v>Timer, Hoje, perfil, grupos, convite, presenca e confirmacao de email (sem verificacao por celular)</x:v>
      </x:c>
      <x:c r="D7" s="71" t="str">
        <x:v>Sessão ponta a ponta + grupo básico</x:v>
      </x:c>
      <x:c r="E7" s="71" t="str">
        <x:v>Timer, Supabase Realtime, grupos e antiabuso</x:v>
      </x:c>
      <x:c r="F7" s="71" t="str">
        <x:v>Gabriel + Samuel + Pedro + Miqueias</x:v>
      </x:c>
      <x:c r="G7" s="71" t="str">
        <x:v>Backlog</x:v>
      </x:c>
      <x:c r="H7" s="71" t="str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</x:row>
    <x:row r="8">
      <x:c r="A8" s="71" t="str">
        <x:v>Mês 3 / S2</x:v>
      </x:c>
      <x:c r="B8" s="71" t="str">
        <x:v>Revisões e Pro</x:v>
      </x:c>
      <x:c r="C8" s="71" t="str">
        <x:v>Motor de revisão, priorização, recuperação, trial, mural, ranking</x:v>
      </x:c>
      <x:c r="D8" s="71" t="str">
        <x:v>Trial gera revisão correta no dia seguinte</x:v>
      </x:c>
      <x:c r="E8" s="71" t="str">
        <x:v>Complexidade do motor</x:v>
      </x:c>
      <x:c r="F8" s="71" t="str">
        <x:v>Gabriel + Samuel + Pedro + Miqueias</x:v>
      </x:c>
      <x:c r="G8" s="71" t="str">
        <x:v>Backlog</x:v>
      </x:c>
      <x:c r="H8" s="71" t="str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</x:row>
    <x:row r="9">
      <x:c r="A9" s="71" t="str">
        <x:v>Mês 4 / S3</x:v>
      </x:c>
      <x:c r="B9" s="71" t="str">
        <x:v>Monetização</x:v>
      </x:c>
      <x:c r="C9" s="71" t="str">
        <x:v>Mercado Pago, webhook, conciliação, cancelamento, resumo domingo</x:v>
      </x:c>
      <x:c r="D9" s="71" t="str">
        <x:v>Pagamento ponta a ponta</x:v>
      </x:c>
      <x:c r="E9" s="71" t="str">
        <x:v>Gateway/idempotência</x:v>
      </x:c>
      <x:c r="F9" s="71" t="str">
        <x:v>Gabriel + Samuel + Pedro + Miqueias + Gestão</x:v>
      </x:c>
      <x:c r="G9" s="71" t="str">
        <x:v>Backlog</x:v>
      </x:c>
      <x:c r="H9" s="71" t="str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</x:row>
    <x:row r="10">
      <x:c r="A10" s="71" t="str">
        <x:v>Mês 5 / S4 + Beta</x:v>
      </x:c>
      <x:c r="B10" s="71" t="str">
        <x:v>Fechamento e qualidade</x:v>
      </x:c>
      <x:c r="C10" s="71" t="str">
        <x:v>Notificações, exportação/exclusão, segurança, E2E, testes reais</x:v>
      </x:c>
      <x:c r="D10" s="71" t="str">
        <x:v>Critérios da beta atendidos</x:v>
      </x:c>
      <x:c r="E10" s="71" t="str">
        <x:v>Privacidade/menores</x:v>
      </x:c>
      <x:c r="F10" s="71" t="str">
        <x:v>Gabriel + Samuel + Pedro + Miqueias + Jurídico</x:v>
      </x:c>
      <x:c r="G10" s="71" t="str">
        <x:v>Backlog</x:v>
      </x:c>
      <x:c r="H10" s="71" t="str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</x:row>
    <x:row r="11">
      <x:c r="A11" s="71" t="str">
        <x:v>Mês 6</x:v>
      </x:c>
      <x:c r="B11" s="71" t="str">
        <x:v>Estabilização</x:v>
      </x:c>
      <x:c r="C11" s="71" t="str">
        <x:v>Correções, performance, hardening, homologação final, release checklist</x:v>
      </x:c>
      <x:c r="D11" s="71" t="str">
        <x:v>Go/No-Go produção</x:v>
      </x:c>
      <x:c r="E11" s="71" t="str">
        <x:v>Bugs e operação</x:v>
      </x:c>
      <x:c r="F11" s="71" t="str">
        <x:v>Gabriel + Samuel + Pedro + Miqueias</x:v>
      </x:c>
      <x:c r="G11" s="71" t="str">
        <x:v>Backlog</x:v>
      </x:c>
      <x:c r="H11" s="71" t="str">
        <x:v>Sem feature nova.</x:v>
      </x:c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</x:row>
    <x:row r="12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</x:row>
    <x:row r="14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</x:row>
    <x:row r="15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</x:row>
  </x:sheetData>
  <x:mergeCells>
    <x:mergeCell ref="A1:H2"/>
    <x:mergeCell ref="A3:H3"/>
  </x:mergeCells>
  <x:dataValidations count="2">
    <x:dataValidation type="list" sqref="G5:G10">
      <x:formula1>Listas!$A$2:$A$7</x:formula1>
    </x:dataValidation>
    <x:dataValidation type="list" sqref="G6:G11">
      <x:formula1>Listas!$A$2:$A$7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40" hidden="0" customWidth="1"/>
    <x:col min="5" max="5" width="40" hidden="0" customWidth="1"/>
    <x:col min="6" max="6" width="36" hidden="0" customWidth="1"/>
    <x:col min="7" max="7" width="30" hidden="0" customWidth="1"/>
    <x:col min="8" max="8" width="14" hidden="0" customWidth="1"/>
    <x:col min="9" max="9" width="28" hidden="0" customWidth="1"/>
  </x:cols>
  <x:sheetData>
    <x:row r="1">
      <x:c r="A1" s="103" t="str">
        <x:v>PLANTEL V1 — F0 + 96 TAREFAS DE LANÇAMENTO; 3 ITENS 1.0.x FORA DO COMPROMISSO</x:v>
      </x:c>
      <x:c r="B1" s="103"/>
      <x:c r="C1" s="103"/>
      <x:c r="D1" s="103"/>
      <x:c r="E1" s="103"/>
      <x:c r="F1" s="103"/>
      <x:c r="G1" s="103"/>
      <x:c r="H1" s="103"/>
      <x:c r="I1" s="103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2">
      <x:c r="A2" s="103"/>
      <x:c r="B2" s="103"/>
      <x:c r="C2" s="103"/>
      <x:c r="D2" s="103"/>
      <x:c r="E2" s="103"/>
      <x:c r="F2" s="103"/>
      <x:c r="G2" s="103"/>
      <x:c r="H2" s="103"/>
      <x:c r="I2" s="103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</x:row>
    <x:row r="3">
      <x:c r="A3" s="214" t="str">
        <x:v>Somente S0 → S4, Beta e Estabilização. Fase B fica fora deste quadro.</x:v>
      </x:c>
      <x:c r="B3" s="214"/>
      <x:c r="C3" s="214"/>
      <x:c r="D3" s="214"/>
      <x:c r="E3" s="214"/>
      <x:c r="F3" s="214"/>
      <x:c r="G3" s="214"/>
      <x:c r="H3" s="214"/>
      <x:c r="I3" s="214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</x:row>
    <x:row r="4">
      <x:c r="A4" s="72"/>
      <x:c r="B4" s="72"/>
      <x:c r="C4" s="72"/>
      <x:c r="D4" s="72"/>
      <x:c r="E4" s="72"/>
      <x:c r="F4" s="72"/>
      <x:c r="G4" s="72"/>
      <x:c r="H4" s="72"/>
      <x:c r="I4" s="72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08" t="str">
        <x:v>Sprint</x:v>
      </x:c>
      <x:c r="B5" s="108" t="str">
        <x:v>Objetivo</x:v>
      </x:c>
      <x:c r="C5" s="108" t="str">
        <x:v>Entrada mínima</x:v>
      </x:c>
      <x:c r="D5" s="108" t="str">
        <x:v>Saída esperada</x:v>
      </x:c>
      <x:c r="E5" s="108" t="str">
        <x:v>Critério de aceite</x:v>
      </x:c>
      <x:c r="F5" s="108" t="str">
        <x:v>Corte se atrasar</x:v>
      </x:c>
      <x:c r="G5" s="108" t="str">
        <x:v>Owner técnico</x:v>
      </x:c>
      <x:c r="H5" s="108" t="str">
        <x:v>Status</x:v>
      </x:c>
      <x:c r="I5" s="108" t="str">
        <x:v>Notas</x:v>
      </x:c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</x:row>
    <x:row r="6">
      <x:c r="A6" s="71" t="str">
        <x:v>S0</x:v>
      </x:c>
      <x:c r="B6" s="71" t="str">
        <x:v>Fundação e piloto</x:v>
      </x:c>
      <x:c r="C6" s="71" t="str">
        <x:v>Escopo aprovado</x:v>
      </x:c>
      <x:c r="D6" s="71" t="str">
        <x:v>Repositorio unico, CI, API local, Supabase DEV Free, Auth, migrations; Vercel Preview se necessario</x:v>
      </x:c>
      <x:c r="E6" s="71" t="str">
        <x:v>Pipeline verde; Auth validado na API; migrations versionadas</x:v>
      </x:c>
      <x:c r="F6" s="71" t="str">
        <x:v>Replanejar escopo se piloto IA &lt; 15%</x:v>
      </x:c>
      <x:c r="G6" s="71" t="str">
        <x:v>Gabriel / Samuel</x:v>
      </x:c>
      <x:c r="H6" s="71" t="str">
        <x:v>Backlog</x:v>
      </x:c>
      <x:c r="I6" s="71" t="str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</x:row>
    <x:row r="7">
      <x:c r="A7" s="71" t="str">
        <x:v>S1</x:v>
      </x:c>
      <x:c r="B7" s="71" t="str">
        <x:v>Sessões e grupos</x:v>
      </x:c>
      <x:c r="C7" s="71" t="str">
        <x:v>S0 estável</x:v>
      </x:c>
      <x:c r="D7" s="71" t="str">
        <x:v>Timer, Hoje, grupos, presença e confirmacao de email (sem verificacao por celular)</x:v>
      </x:c>
      <x:c r="E7" s="71" t="str">
        <x:v>Sessão server-authoritative e grupo funcional</x:v>
      </x:c>
      <x:c r="F7" s="71" t="str">
        <x:v>Simplificar Pomodoro/sobreposição</x:v>
      </x:c>
      <x:c r="G7" s="71" t="str">
        <x:v>Gabriel / Samuel</x:v>
      </x:c>
      <x:c r="H7" s="71" t="str">
        <x:v>Backlog</x:v>
      </x:c>
      <x:c r="I7" s="71" t="str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</x:row>
    <x:row r="8">
      <x:c r="A8" s="71" t="str">
        <x:v>S2</x:v>
      </x:c>
      <x:c r="B8" s="71" t="str">
        <x:v>Revisões e teste Pro</x:v>
      </x:c>
      <x:c r="C8" s="71" t="str">
        <x:v>Sessões estáveis</x:v>
      </x:c>
      <x:c r="D8" s="71" t="str">
        <x:v>Motor revisão, trial, ranking, mural</x:v>
      </x:c>
      <x:c r="E8" s="71" t="str">
        <x:v>Exemplos do motor viram testes; trial correto</x:v>
      </x:c>
      <x:c r="F8" s="71" t="str">
        <x:v>Simplificar social não essencial</x:v>
      </x:c>
      <x:c r="G8" s="71" t="str">
        <x:v>Gabriel / Samuel</x:v>
      </x:c>
      <x:c r="H8" s="71" t="str">
        <x:v>Backlog</x:v>
      </x:c>
      <x:c r="I8" s="71" t="str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</x:row>
    <x:row r="9">
      <x:c r="A9" s="71" t="str">
        <x:v>S3</x:v>
      </x:c>
      <x:c r="B9" s="71" t="str">
        <x:v>Pagamento e recuperação</x:v>
      </x:c>
      <x:c r="C9" s="71" t="str">
        <x:v>Entitlements prontos</x:v>
      </x:c>
      <x:c r="D9" s="71" t="str">
        <x:v>Assinatura, webhook, conciliação, cancelamento, resumo domingo</x:v>
      </x:c>
      <x:c r="E9" s="71" t="str">
        <x:v>Pagamento ponta a ponta em sandbox</x:v>
      </x:c>
      <x:c r="F9" s="71" t="str">
        <x:v>Duelo → 1.0.x; sala do dia → 1.0.x</x:v>
      </x:c>
      <x:c r="G9" s="71" t="str">
        <x:v>Gabriel / Samuel</x:v>
      </x:c>
      <x:c r="H9" s="71" t="str">
        <x:v>Backlog</x:v>
      </x:c>
      <x:c r="I9" s="71" t="str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</x:row>
    <x:row r="10">
      <x:c r="A10" s="71" t="str">
        <x:v>S4</x:v>
      </x:c>
      <x:c r="B10" s="71" t="str">
        <x:v>Fechamento</x:v>
      </x:c>
      <x:c r="C10" s="71" t="str">
        <x:v>S3 entregue</x:v>
      </x:c>
      <x:c r="D10" s="71" t="str">
        <x:v>LGPD, export/exclusão, notificações, testes, segurança</x:v>
      </x:c>
      <x:c r="E10" s="71" t="str">
        <x:v>Sem exposição de dados; termos validados</x:v>
      </x:c>
      <x:c r="F10" s="71" t="str">
        <x:v>Cards → 1.0.x; export via script se jurídico permitir</x:v>
      </x:c>
      <x:c r="G10" s="71" t="str">
        <x:v>Gabriel / Samuel</x:v>
      </x:c>
      <x:c r="H10" s="71" t="str">
        <x:v>Backlog</x:v>
      </x:c>
      <x:c r="I10" s="71" t="str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</x:row>
    <x:row r="11">
      <x:c r="A11" s="71" t="str">
        <x:v>Beta</x:v>
      </x:c>
      <x:c r="B11" s="71" t="str">
        <x:v>Uso real controlado</x:v>
      </x:c>
      <x:c r="C11" s="71" t="str">
        <x:v>Code freeze</x:v>
      </x:c>
      <x:c r="D11" s="71" t="str">
        <x:v>Correções e métricas</x:v>
      </x:c>
      <x:c r="E11" s="71" t="str">
        <x:v>Critérios de lançamento cumpridos</x:v>
      </x:c>
      <x:c r="F11" s="71" t="str">
        <x:v>Adiar release se critério crítico falhar</x:v>
      </x:c>
      <x:c r="G11" s="71" t="str">
        <x:v>Gabriel + Samuel + Pedro + Miqueias</x:v>
      </x:c>
      <x:c r="H11" s="71" t="str">
        <x:v>Backlog</x:v>
      </x:c>
      <x:c r="I11" s="71" t="str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</x:row>
    <x:row r="12">
      <x:c r="A12" s="71" t="str">
        <x:v>Estabilização</x:v>
      </x:c>
      <x:c r="B12" s="71" t="str">
        <x:v>Prontidão produção</x:v>
      </x:c>
      <x:c r="C12" s="71" t="str">
        <x:v>Beta aprovada</x:v>
      </x:c>
      <x:c r="D12" s="71" t="str">
        <x:v>Hardening, performance, checklist release</x:v>
      </x:c>
      <x:c r="E12" s="71" t="str">
        <x:v>Go/No-Go aprovado</x:v>
      </x:c>
      <x:c r="F12" s="71" t="str">
        <x:v>Sem feature nova</x:v>
      </x:c>
      <x:c r="G12" s="71" t="str">
        <x:v>Gabriel + Samuel + Pedro + Miqueias</x:v>
      </x:c>
      <x:c r="H12" s="71" t="str">
        <x:v>Backlog</x:v>
      </x:c>
      <x:c r="I12" s="71" t="str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</x:row>
    <x:row r="14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</x:row>
    <x:row r="15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</x:row>
  </x:sheetData>
  <x:mergeCells>
    <x:mergeCell ref="A1:I2"/>
    <x:mergeCell ref="A3:I3"/>
  </x:mergeCells>
  <x:dataValidations count="2">
    <x:dataValidation type="list" sqref="H5:H11">
      <x:formula1>Listas!$A$2:$A$7</x:formula1>
    </x:dataValidation>
    <x:dataValidation type="list" sqref="H6:H12">
      <x:formula1>Listas!$A$2:$A$7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72" t="str">
        <x:v>Status</x:v>
      </x:c>
      <x:c r="B1" s="72" t="str">
        <x:v>Prioridade</x:v>
      </x:c>
      <x:c r="C1" s="72" t="str">
        <x:v>Fase</x:v>
      </x:c>
      <x:c r="D1" s="72" t="str">
        <x:v>Responsável</x:v>
      </x:c>
      <x:c r="E1" s="72" t="str">
        <x:v>Tipo</x:v>
      </x:c>
      <x:c r="F1" s="72" t="str">
        <x:v>Sprint</x:v>
      </x:c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2">
      <x:c r="A2" s="71" t="str">
        <x:v>Backlog</x:v>
      </x:c>
      <x:c r="B2" s="71" t="str">
        <x:v>Crítica</x:v>
      </x:c>
      <x:c r="C2" s="71" t="str">
        <x:v>Fundação</x:v>
      </x:c>
      <x:c r="D2" s="71" t="str">
        <x:v>Gabriel / Samuel</x:v>
      </x:c>
      <x:c r="E2" s="71" t="str">
        <x:v>Backend</x:v>
      </x:c>
      <x:c r="F2" s="71" t="str">
        <x:v>S0</x:v>
      </x:c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</x:row>
    <x:row r="3">
      <x:c r="A3" s="71" t="str">
        <x:v>Pronto</x:v>
      </x:c>
      <x:c r="B3" s="71" t="str">
        <x:v>Alta</x:v>
      </x:c>
      <x:c r="C3" s="71" t="str">
        <x:v>V1</x:v>
      </x:c>
      <x:c r="D3" s="71" t="str">
        <x:v>Pedro / Miqueias</x:v>
      </x:c>
      <x:c r="E3" s="71" t="str">
        <x:v>Frontend</x:v>
      </x:c>
      <x:c r="F3" s="71" t="str">
        <x:v>S1</x:v>
      </x:c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</x:row>
    <x:row r="4">
      <x:c r="A4" s="71" t="str">
        <x:v>Em andamento</x:v>
      </x:c>
      <x:c r="B4" s="71" t="str">
        <x:v>Média</x:v>
      </x:c>
      <x:c r="C4" s="71"/>
      <x:c r="D4" s="71" t="str">
        <x:v>Gabriel / Samuel + Pedro / Miqueias</x:v>
      </x:c>
      <x:c r="E4" s="71" t="str">
        <x:v>Banco</x:v>
      </x:c>
      <x:c r="F4" s="71" t="str">
        <x:v>S2</x:v>
      </x:c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71" t="str">
        <x:v>Em revisão</x:v>
      </x:c>
      <x:c r="B5" s="71" t="str">
        <x:v>Baixa</x:v>
      </x:c>
      <x:c r="C5" s="71" t="str">
        <x:v>Versão 2</x:v>
      </x:c>
      <x:c r="D5" s="71" t="str">
        <x:v>Curadoria</x:v>
      </x:c>
      <x:c r="E5" s="71" t="str">
        <x:v>Infra</x:v>
      </x:c>
      <x:c r="F5" s="71" t="str">
        <x:v>S3</x:v>
      </x:c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</x:row>
    <x:row r="6">
      <x:c r="A6" s="71" t="str">
        <x:v>Bloqueado</x:v>
      </x:c>
      <x:c r="B6" s="71"/>
      <x:c r="C6" s="71" t="str">
        <x:v>Transversal</x:v>
      </x:c>
      <x:c r="D6" s="71" t="str">
        <x:v>Gestão</x:v>
      </x:c>
      <x:c r="E6" s="71" t="str">
        <x:v>Segurança</x:v>
      </x:c>
      <x:c r="F6" s="71" t="str">
        <x:v>S4</x:v>
      </x:c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</x:row>
    <x:row r="7">
      <x:c r="A7" s="71" t="str">
        <x:v>Concluído</x:v>
      </x:c>
      <x:c r="B7" s="71"/>
      <x:c r="C7" s="71"/>
      <x:c r="D7" s="71" t="str">
        <x:v>Jurídico / DPO</x:v>
      </x:c>
      <x:c r="E7" s="71" t="str">
        <x:v>LGPD/Jurídico</x:v>
      </x:c>
      <x:c r="F7" s="71" t="str">
        <x:v>Beta</x:v>
      </x:c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</x:row>
    <x:row r="8">
      <x:c r="A8" s="71"/>
      <x:c r="B8" s="71"/>
      <x:c r="C8" s="71"/>
      <x:c r="D8" s="71" t="str">
        <x:v>Contador</x:v>
      </x:c>
      <x:c r="E8" s="71" t="str">
        <x:v>Integração</x:v>
      </x:c>
      <x:c r="F8" s="71" t="str">
        <x:v>Estabilização</x:v>
      </x:c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</x:row>
    <x:row r="9">
      <x:c r="A9" s="71"/>
      <x:c r="B9" s="71"/>
      <x:c r="C9" s="71"/>
      <x:c r="D9" s="71" t="str">
        <x:v>A definir</x:v>
      </x:c>
      <x:c r="E9" s="71" t="str">
        <x:v>Teste</x:v>
      </x:c>
      <x:c r="F9" s="71" t="str">
        <x:v>Fase B 1.1</x:v>
      </x:c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</x:row>
    <x:row r="10">
      <x:c r="A10" s="71"/>
      <x:c r="B10" s="71"/>
      <x:c r="C10" s="71"/>
      <x:c r="D10" s="71"/>
      <x:c r="E10" s="71" t="str">
        <x:v>Produto</x:v>
      </x:c>
      <x:c r="F10" s="71" t="str">
        <x:v>Fase B 1.2</x:v>
      </x:c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</x:row>
    <x:row r="11">
      <x:c r="A11" s="71"/>
      <x:c r="B11" s="71"/>
      <x:c r="C11" s="71"/>
      <x:c r="D11" s="71"/>
      <x:c r="E11" s="71" t="str">
        <x:v>Curadoria</x:v>
      </x:c>
      <x:c r="F11" s="71" t="str">
        <x:v>Fase B 1.3</x:v>
      </x:c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</x:row>
    <x:row r="12">
      <x:c r="A12" s="71"/>
      <x:c r="B12" s="71"/>
      <x:c r="C12" s="71"/>
      <x:c r="D12" s="71"/>
      <x:c r="E12" s="71"/>
      <x:c r="F12" s="71" t="str">
        <x:v>Fase B 1.4</x:v>
      </x:c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</x:row>
    <x:row r="13">
      <x:c r="A13" s="71"/>
      <x:c r="B13" s="71"/>
      <x:c r="C13" s="71"/>
      <x:c r="D13" s="71"/>
      <x:c r="E13" s="71"/>
      <x:c r="F13" s="71" t="str">
        <x:v>Versão 2</x:v>
      </x:c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</x:row>
    <x:row r="14">
      <x:c r="A14" s="71"/>
      <x:c r="B14" s="71"/>
      <x:c r="C14" s="71"/>
      <x:c r="D14" s="71"/>
      <x:c r="E14" s="71"/>
      <x:c r="F14" s="71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</x:row>
    <x:row r="15">
      <x:c r="A15" s="71"/>
      <x:c r="B15" s="71"/>
      <x:c r="C15" s="71"/>
      <x:c r="D15" s="71"/>
      <x:c r="E15" s="71"/>
      <x:c r="F15" s="71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</x:row>
    <x:row r="16">
      <x:c r="A16" s="71"/>
      <x:c r="B16" s="71"/>
      <x:c r="C16" s="71"/>
      <x:c r="D16" s="71"/>
      <x:c r="E16" s="71"/>
      <x:c r="F16" s="71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</x:row>
    <x:row r="17">
      <x:c r="A17" s="71"/>
      <x:c r="B17" s="71"/>
      <x:c r="C17" s="71"/>
      <x:c r="D17" s="71"/>
      <x:c r="E17" s="71"/>
      <x:c r="F17" s="71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</x:row>
    <x:row r="18">
      <x:c r="A18" s="71"/>
      <x:c r="B18" s="71"/>
      <x:c r="C18" s="71"/>
      <x:c r="D18" s="71"/>
      <x:c r="E18" s="71"/>
      <x:c r="F18" s="71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</x:row>
    <x:row r="19">
      <x:c r="A19" s="71"/>
      <x:c r="B19" s="71"/>
      <x:c r="C19" s="71"/>
      <x:c r="D19" s="71"/>
      <x:c r="E19" s="71"/>
      <x:c r="F19" s="71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</x:row>
    <x:row r="20">
      <x:c r="A20" s="71"/>
      <x:c r="B20" s="71"/>
      <x:c r="C20" s="71"/>
      <x:c r="D20" s="71"/>
      <x:c r="E20" s="71"/>
      <x:c r="F20" s="71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42" hidden="0" customWidth="1"/>
    <x:col min="4" max="4" width="26" hidden="0" customWidth="1"/>
    <x:col min="5" max="5" width="32" hidden="0" customWidth="1"/>
    <x:col min="6" max="6" width="34" hidden="0" customWidth="1"/>
  </x:cols>
  <x:sheetData>
    <x:row r="1">
      <x:c r="A1" s="103" t="str">
        <x:v>EQUIPE — RESPONSABILIDADES DO PROJETO</x:v>
      </x:c>
      <x:c r="B1" s="103"/>
      <x:c r="C1" s="103"/>
      <x:c r="D1" s="103"/>
      <x:c r="E1" s="103"/>
      <x:c r="F1" s="103"/>
    </x:row>
    <x:row r="2">
      <x:c r="A2" s="103"/>
      <x:c r="B2" s="103"/>
      <x:c r="C2" s="103"/>
      <x:c r="D2" s="103"/>
      <x:c r="E2" s="103"/>
      <x:c r="F2" s="103"/>
    </x:row>
    <x:row r="4">
      <x:c r="A4" s="108" t="str">
        <x:v>Pessoa</x:v>
      </x:c>
      <x:c r="B4" s="108" t="str">
        <x:v>Área principal</x:v>
      </x:c>
      <x:c r="C4" s="108" t="str">
        <x:v>Responsabilidades</x:v>
      </x:c>
      <x:c r="D4" s="108" t="str">
        <x:v>Não é fonte de verdade para</x:v>
      </x:c>
      <x:c r="E4" s="108" t="str">
        <x:v>Revisão obrigatória</x:v>
      </x:c>
      <x:c r="F4" s="108" t="str">
        <x:v>Observações</x:v>
      </x:c>
    </x:row>
    <x:row r="5">
      <x:c r="A5" s="109" t="str">
        <x:v>Gabriel</x:v>
      </x:c>
      <x:c r="B5" s="109" t="str">
        <x:v>Backend + Supervisão técnica</x:v>
      </x:c>
      <x:c r="C5" s="109" t="str">
        <x:v>Arquitetura, banco, regras de acesso, sessões, revisões críticas, segurança, integração e revisão técnica</x:v>
      </x:c>
      <x:c r="D5" s="109" t="str">
        <x:v>Frontend/UX</x:v>
      </x:c>
      <x:c r="E5" s="109" t="str">
        <x:v>Acesso, banco, LGPD técnica, pagamentos e regras críticas</x:v>
      </x:c>
      <x:c r="F5" s="109" t="str">
        <x:v>Líder técnico e desenvolvedor backend. No Backlog/Kanban, tarefas de backend pertencem sempre à dupla Gabriel / Samuel.</x:v>
      </x:c>
    </x:row>
    <x:row r="6">
      <x:c r="A6" s="109" t="str">
        <x:v>Samuel</x:v>
      </x:c>
      <x:c r="B6" s="109" t="str">
        <x:v>Backend</x:v>
      </x:c>
      <x:c r="C6" s="109" t="str">
        <x:v>APIs, integrações, Pro, pagamentos, notificações, verificações e módulos backend distribuídos pelo backlog</x:v>
      </x:c>
      <x:c r="D6" s="109" t="str">
        <x:v>Frontend/UX</x:v>
      </x:c>
      <x:c r="E6" s="109" t="str">
        <x:v>Pagamentos, autenticação, webhooks e regras server-side</x:v>
      </x:c>
      <x:c r="F6" s="109" t="str">
        <x:v>No Backlog/Kanban, tarefas de backend pertencem sempre à dupla Gabriel / Samuel.</x:v>
      </x:c>
    </x:row>
    <x:row r="7">
      <x:c r="A7" s="110" t="str">
        <x:v>Pedro</x:v>
      </x:c>
      <x:c r="B7" s="110" t="str">
        <x:v>Frontend</x:v>
      </x:c>
      <x:c r="C7" s="110" t="str">
        <x:v>React/Vite/PWA, telas de estudo, componentes, estados, integração com API, responsividade</x:v>
      </x:c>
      <x:c r="D7" s="110" t="str">
        <x:v>Regras de negócio do backend</x:v>
      </x:c>
      <x:c r="E7" s="110" t="str">
        <x:v>Fluxos críticos e aderência ao contrato da API</x:v>
      </x:c>
      <x:c r="F7" s="110" t="str">
        <x:v>No Backlog/Kanban, tarefas de frontend pertencem sempre à dupla Pedro / Miqueias.</x:v>
      </x:c>
    </x:row>
    <x:row r="8">
      <x:c r="A8" s="110" t="str">
        <x:v>Miqueias</x:v>
      </x:c>
      <x:c r="B8" s="110" t="str">
        <x:v>Frontend</x:v>
      </x:c>
      <x:c r="C8" s="110" t="str">
        <x:v>React/Vite/PWA, telas sociais, componentes, estados, integração com API, responsividade</x:v>
      </x:c>
      <x:c r="D8" s="110" t="str">
        <x:v>Regras de negócio do backend</x:v>
      </x:c>
      <x:c r="E8" s="110" t="str">
        <x:v>Privacidade social e aderência ao contrato da API</x:v>
      </x:c>
      <x:c r="F8" s="110" t="str">
        <x:v>No Backlog/Kanban, tarefas de frontend pertencem sempre à dupla Pedro / Miqueias.</x:v>
      </x:c>
    </x:row>
    <x:row r="9">
      <x:c r="A9" s="111" t="str">
        <x:v>Jurídico / DPO</x:v>
      </x:c>
      <x:c r="B9" s="111" t="str">
        <x:v>Conformidade</x:v>
      </x:c>
      <x:c r="C9" s="111" t="str">
        <x:v>LGPD, menores, termos, privacidade, comunicação, retenção, fornecedores e incidentes</x:v>
      </x:c>
      <x:c r="D9" s="111" t="str">
        <x:v>Implementação técnica</x:v>
      </x:c>
      <x:c r="E9" s="111" t="str">
        <x:v>Decisões jurídicas antes de produção</x:v>
      </x:c>
      <x:c r="F9" s="111" t="str">
        <x:v>Parecer jurídico não é substituído pelos documentos técnicos.</x:v>
      </x:c>
    </x:row>
    <x:row r="10">
      <x:c r="A10" s="112" t="str">
        <x:v>Curadoria / Gestão</x:v>
      </x:c>
      <x:c r="B10" s="112" t="str">
        <x:v>Produto e conteúdo</x:v>
      </x:c>
      <x:c r="C10" s="112" t="str">
        <x:v>Catálogo, decisões comerciais, provas, preços, validações externas e prioridades</x:v>
      </x:c>
      <x:c r="D10" s="112" t="str">
        <x:v>Arquitetura/código</x:v>
      </x:c>
      <x:c r="E10" s="112" t="str">
        <x:v>Dados de catálogo e decisões de negócio</x:v>
      </x:c>
      <x:c r="F10" s="112" t="str"/>
    </x:row>
  </x:sheetData>
  <x:mergeCells>
    <x:mergeCell ref="A1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76" hidden="0" customWidth="1"/>
    <x:col min="3" max="3" width="66" hidden="0" customWidth="1"/>
  </x:cols>
  <x:sheetData>
    <x:row r="1" ht="30" customHeight="1">
      <x:c r="A1" s="1332" t="str">
        <x:v>PLANTEL — DECISÕES V1 | 20/10/2026</x:v>
      </x:c>
      <x:c r="B1" s="1332" t="str">
        <x:v>DECISÃO APROVADA</x:v>
      </x:c>
      <x:c r="C1" s="1332" t="str">
        <x:v>AÇÃO NA MIGRAÇÃO</x:v>
      </x:c>
    </x:row>
    <x:row r="2">
      <x:c r="A2" s="12" t="str">
        <x:v>Infraestrutura</x:v>
      </x:c>
      <x:c r="B2" s="12" t="str">
        <x:v>Render Standard + Workspace Hobby; Supabase Pro (Auth, PostgreSQL, Realtime); Vercel Pro</x:v>
      </x:c>
      <x:c r="C2" s="12" t="str">
        <x:v>Atualizar infraestrutura da Issue e retirar referências às tecnologias de hospedagem anteriormente consideradas</x:v>
      </x:c>
    </x:row>
    <x:row r="3">
      <x:c r="A3" s="12" t="str">
        <x:v>Cadastro</x:v>
      </x:c>
      <x:c r="B3" s="12" t="str">
        <x:v>Nome, e-mail, senha, apelido, data de nascimento</x:v>
      </x:c>
      <x:c r="C3" s="12" t="str">
        <x:v>Remover tag e telefone obrigatório de tarefas e descrições</x:v>
      </x:c>
    </x:row>
    <x:row r="4">
      <x:c r="A4" s="12" t="str">
        <x:v>Autenticação</x:v>
      </x:c>
      <x:c r="B4" s="12" t="str">
        <x:v>E-mail confirmado obrigatório pelo Supabase Auth</x:v>
      </x:c>
      <x:c r="C4" s="12" t="str">
        <x:v>Adicionar teste de sessão não confirmada</x:v>
      </x:c>
    </x:row>
    <x:row r="5">
      <x:c r="A5" s="12" t="str">
        <x:v>Proteção anti-bot</x:v>
      </x:c>
      <x:c r="B5" s="12" t="str">
        <x:v>Cloudflare Turnstile no fluxo Auth; rate limits</x:v>
      </x:c>
      <x:c r="C5" s="12" t="str">
        <x:v>Substituir reCAPTCHA Google onde apareça</x:v>
      </x:c>
    </x:row>
    <x:row r="6">
      <x:c r="A6" s="12" t="str">
        <x:v>Validação</x:v>
      </x:c>
      <x:c r="B6" s="12" t="str">
        <x:v>Filtro nomes e apelidos ofensivos PT-BR e EN com revisão de falso positivo</x:v>
      </x:c>
      <x:c r="C6" s="12" t="str">
        <x:v>Criar tarefa de moderação e testes</x:v>
      </x:c>
    </x:row>
    <x:row r="7">
      <x:c r="A7" s="12" t="str">
        <x:v>Papéis</x:v>
      </x:c>
      <x:c r="B7" s="12" t="str">
        <x:v>aluno / administrador / superadministrador</x:v>
      </x:c>
      <x:c r="C7" s="12" t="str">
        <x:v>Criar autorização, auditoria e painel admin mínimo</x:v>
      </x:c>
    </x:row>
    <x:row r="8">
      <x:c r="A8" s="12" t="str">
        <x:v>Privacidade</x:v>
      </x:c>
      <x:c r="B8" s="12" t="str">
        <x:v>Nome e data de nascimento privados; identidade social é apelido</x:v>
      </x:c>
      <x:c r="C8" s="12" t="str">
        <x:v>Restringir DTOs públicos e grupos</x:v>
      </x:c>
    </x:row>
    <x:row r="9">
      <x:c r="A9" s="12" t="str">
        <x:v>Trial Pro</x:v>
      </x:c>
      <x:c r="B9" s="12" t="str">
        <x:v>14 dias após primeira sessão, e-mail confirmado; 1 concessão por conta</x:v>
      </x:c>
      <x:c r="C9" s="12" t="str">
        <x:v>Eliminar exigência de telefone e não prometer identidade única</x:v>
      </x:c>
    </x:row>
    <x:row r="10">
      <x:c r="A10" s="12" t="str">
        <x:v>Pagamentos</x:v>
      </x:c>
      <x:c r="B10" s="12" t="str">
        <x:v>Mercado Pago com cartão recorrente; Pix depende de confirmação do modelo</x:v>
      </x:c>
      <x:c r="C10" s="12" t="str">
        <x:v>Manter webhook idempotente e conciliação</x:v>
      </x:c>
    </x:row>
    <x:row r="11">
      <x:c r="A11" s="12" t="str">
        <x:v>Convenção</x:v>
      </x:c>
      <x:c r="B11" s="12" t="str">
        <x:v>Nomes de módulos e features em português sem acento; routes/controller/service/model técnicos</x:v>
      </x:c>
      <x:c r="C11" s="12" t="str">
        <x:v>Atualizar prompts e títulos de tarefas</x:v>
      </x:c>
    </x:row>
    <x:row r="12">
      <x:c r="A12" s="12" t="str">
        <x:v>Prototipo F0</x:v>
      </x:c>
      <x:c r="B12" s="12" t="str">
        <x:v>Primeiro marco, antes da codificacao funcional</x:v>
      </x:c>
      <x:c r="C12" s="12" t="str">
        <x:v>PL-092 a PL-099; aceite obrigatorio</x:v>
      </x:c>
    </x:row>
    <x:row r="13">
      <x:c r="A13" s="12" t="str">
        <x:v>Hospedagem</x:v>
      </x:c>
      <x:c r="B13" s="12" t="str">
        <x:v>Render Standard e candidato, NAO contratado definitivamente</x:v>
      </x:c>
      <x:c r="C13" s="12" t="str">
        <x:v>Aguardar decisao da equipe; nao presumir infraestrutura fechada</x:v>
      </x:c>
    </x:row>
    <x:row r="14">
      <x:c r="A14" t="str">
        <x:v>Chat evolutivo</x:v>
      </x:c>
      <x:c r="B14" t="str">
        <x:v>PostgreSQL identidade/grupos; Mongo somente mensagens numa versao FUTURA</x:v>
      </x:c>
      <x:c r="C14" t="str">
        <x:v>Sem custo, sem tarefa nem contratacao na V1</x:v>
      </x:c>
    </x:row>
    <x:row r="15">
      <x:c r="A15" t="str">
        <x:v>Anti-bot</x:v>
      </x:c>
      <x:c r="B15" t="str">
        <x:v>Turnstile + e-mail confirmado</x:v>
      </x:c>
      <x:c r="C15" t="str">
        <x:v>Filtro PT/EN e rate limit no servidor</x:v>
      </x:c>
    </x:row>
    <x:row r="16">
      <x:c r="A16" t="str">
        <x:v>Administração</x:v>
      </x:c>
      <x:c r="B16" t="str">
        <x:v>Aluno / Administrador / Superadministrador</x:v>
      </x:c>
      <x:c r="C16" t="str">
        <x:v>RBAC e auditoria</x:v>
      </x:c>
    </x:row>
    <x:row r="17">
      <x:c r="A17" t="str">
        <x:v>Teste Pro</x:v>
      </x:c>
      <x:c r="B17" t="str">
        <x:v>Sem telefone</x:v>
      </x:c>
      <x:c r="C17" t="str">
        <x:v>Antifraude proporcional; não garante identidade única</x:v>
      </x:c>
    </x:row>
    <x:row r="18">
      <x:c r="A18" t="str">
        <x:v>Migração Project</x:v>
      </x:c>
      <x:c r="B18" t="str">
        <x:v>Somente V1</x:v>
      </x:c>
      <x:c r="C18" t="str">
        <x:v>Importar PL-001 a PL-091; sem V2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42" hidden="0" customWidth="1"/>
    <x:col min="4" max="4" width="100" hidden="0" customWidth="1"/>
  </x:cols>
  <x:sheetData>
    <x:row r="1">
      <x:c r="A1" s="1335" t="str">
        <x:v>F0 — PROTOTIPACAO V1 | 99 IDs historicos | 96 de lancamento | Render backend em PROD; Supabase DEV Free / PROD Pro</x:v>
      </x:c>
      <x:c r="B1" s="1335" t="str">
        <x:v>Responsavel</x:v>
      </x:c>
      <x:c r="C1" s="1335" t="str">
        <x:v>Entrega</x:v>
      </x:c>
      <x:c r="D1" s="1335" t="str">
        <x:v>Saida</x:v>
      </x:c>
    </x:row>
    <x:row r="2" ht="45" customHeight="1">
      <x:c r="A2" s="12" t="str">
        <x:v>PL-092</x:v>
      </x:c>
      <x:c r="B2" s="12" t="str">
        <x:v>Pedro / Miqueias</x:v>
      </x:c>
      <x:c r="C2" s="12" t="str">
        <x:v>Mapa de navegacao V1</x:v>
      </x:c>
      <x:c r="D2" s="12" t="str">
        <x:v>Fluxos Aluno/Admin/Superadmin e estado Free/Pro mapeados; revisao tecnica.</x:v>
      </x:c>
    </x:row>
    <x:row r="3" ht="45" customHeight="1">
      <x:c r="A3" s="12" t="str">
        <x:v>PL-093</x:v>
      </x:c>
      <x:c r="B3" s="12" t="str">
        <x:v>Pedro / Miqueias</x:v>
      </x:c>
      <x:c r="C3" s="12" t="str">
        <x:v>Wireframes de interfaces</x:v>
      </x:c>
      <x:c r="D3" s="12" t="str">
        <x:v>Wireframes desktop/mobile para jornadas criticas; sem codigo de produto.</x:v>
      </x:c>
    </x:row>
    <x:row r="4" ht="45" customHeight="1">
      <x:c r="A4" s="12" t="str">
        <x:v>PL-094</x:v>
      </x:c>
      <x:c r="B4" s="12" t="str">
        <x:v>Pedro / Miqueias</x:v>
      </x:c>
      <x:c r="C4" s="12" t="str">
        <x:v>Sistema visual e componentes</x:v>
      </x:c>
      <x:c r="D4" s="12" t="str">
        <x:v>Navegacao, formularios, cards, tabelas, modais, estados e design responsivo.</x:v>
      </x:c>
    </x:row>
    <x:row r="5" ht="45" customHeight="1">
      <x:c r="A5" s="12" t="str">
        <x:v>PL-095</x:v>
      </x:c>
      <x:c r="B5" s="12" t="str">
        <x:v>Pedro / Miqueias</x:v>
      </x:c>
      <x:c r="C5" s="12" t="str">
        <x:v>Telas do aluno e assinatura</x:v>
      </x:c>
      <x:c r="D5" s="12" t="str">
        <x:v>Hoje, estudar, timer, revisoes, social, relatorios, Pro e privacidade; estados incluidos.</x:v>
      </x:c>
    </x:row>
    <x:row r="6" ht="45" customHeight="1">
      <x:c r="A6" s="12" t="str">
        <x:v>PL-096</x:v>
      </x:c>
      <x:c r="B6" s="12" t="str">
        <x:v>Pedro / Miqueias</x:v>
      </x:c>
      <x:c r="C6" s="12" t="str">
        <x:v>Telas administracao e superadmin</x:v>
      </x:c>
      <x:c r="D6" s="12" t="str">
        <x:v>Operacao, catalogo, moderacao, auditoria, gestao de admins e acessos coerentes.</x:v>
      </x:c>
    </x:row>
    <x:row r="7" ht="45" customHeight="1">
      <x:c r="A7" s="12" t="str">
        <x:v>PL-097</x:v>
      </x:c>
      <x:c r="B7" s="12" t="str">
        <x:v>Pedro / Miqueias</x:v>
      </x:c>
      <x:c r="C7" s="12" t="str">
        <x:v>Fluxos navegaveis e mobile</x:v>
      </x:c>
      <x:c r="D7" s="12" t="str">
        <x:v>Oito jornadas obrigatorias navegaveis; uso mobile e desktop revisado.</x:v>
      </x:c>
    </x:row>
    <x:row r="8" ht="45" customHeight="1">
      <x:c r="A8" s="12" t="str">
        <x:v>PL-098</x:v>
      </x:c>
      <x:c r="B8" s="12" t="str">
        <x:v>Gabriel / Samuel</x:v>
      </x:c>
      <x:c r="C8" s="12" t="str">
        <x:v>Validacao tecnica do prototipo</x:v>
      </x:c>
      <x:c r="D8" s="12" t="str">
        <x:v>Gabriel/Samuel validam viabilidade, limites de papel, dados e APIs; registrar ajustes.</x:v>
      </x:c>
    </x:row>
    <x:row r="9" ht="45" customHeight="1">
      <x:c r="A9" s="12" t="str">
        <x:v>PL-099</x:v>
      </x:c>
      <x:c r="B9" s="12" t="str">
        <x:v>Gestao</x:v>
      </x:c>
      <x:c r="C9" s="12" t="str">
        <x:v>Aceite do prototipo V1</x:v>
      </x:c>
      <x:c r="D9" s="12" t="str">
        <x:v>Responsavel do produto aprova fluxos finais; marco que libera codificacao funcional.</x:v>
      </x:c>
    </x:row>
    <x:row r="10">
      <x:c r="A10" s="12"/>
      <x:c r="B10" s="12"/>
      <x:c r="C10" s="12"/>
      <x:c r="D10" s="12"/>
    </x:row>
    <x:row r="11">
      <x:c r="A11" s="12" t="str">
        <x:v>REGRA DE AVANCO</x:v>
      </x:c>
      <x:c r="B11" s="12" t="str">
        <x:v>Somente apos PL-099</x:v>
      </x:c>
      <x:c r="C11" s="12" t="str">
        <x:v>S0 e codificacao funcional</x:v>
      </x:c>
      <x:c r="D11" s="12" t="str">
        <x:v>API local em DEV; GitHub unico; Supabase plantel-dev Free. Render so em producao; sem MongoDB V1.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85" hidden="0" customWidth="1"/>
  </x:cols>
  <x:sheetData>
    <x:row r="1" ht="38" customHeight="1">
      <x:c r="A1" s="1338" t="str">
        <x:v>PLANTEL — MAPA DE AMBIENTES E COLABORACAO</x:v>
      </x:c>
      <x:c r="B1" s="1338" t="str"/>
    </x:row>
    <x:row r="2" ht="34" customHeight="1">
      <x:c r="A2" s="12" t="str">
        <x:v>Regra oficial</x:v>
      </x:c>
      <x:c r="B2" s="12" t="str">
        <x:v>Um unico repositorio GitHub; backend local em DEV; dois projetos Supabase; um projeto Vercel com Preview/Production</x:v>
      </x:c>
    </x:row>
    <x:row r="3" ht="34" customHeight="1">
      <x:c r="A3" s="1342" t="str">
        <x:v>Ambiente</x:v>
      </x:c>
      <x:c r="B3" s="1342" t="str">
        <x:v>Execucao / Banco / Acesso</x:v>
      </x:c>
    </x:row>
    <x:row r="4" ht="34" customHeight="1">
      <x:c r="A4" s="12" t="str">
        <x:v>Desenvolvimento</x:v>
      </x:c>
      <x:c r="B4" s="12" t="str">
        <x:v>GitHub clone local por desenvolvedor; API Node/Express local; Supabase plantel-dev Free; dados ficticios</x:v>
      </x:c>
    </x:row>
    <x:row r="5" ht="34" customHeight="1">
      <x:c r="A5" s="12" t="str">
        <x:v>Preview frontend</x:v>
      </x:c>
      <x:c r="B5" s="12" t="str">
        <x:v>Vercel Preview no mesmo projeto; API de DEV autorizada ou mocks; NUNCA banco PROD</x:v>
      </x:c>
    </x:row>
    <x:row r="6" ht="34" customHeight="1">
      <x:c r="A6" s="12" t="str">
        <x:v>Producao</x:v>
      </x:c>
      <x:c r="B6" s="12" t="str">
        <x:v>API no Render; Supabase plantel-prod Pro; frontend Vercel Production; variaveis e secrets isolados</x:v>
      </x:c>
    </x:row>
    <x:row r="7" ht="34" customHeight="1">
      <x:c r="A7" s="12" t="str">
        <x:v>Migracoes</x:v>
      </x:c>
      <x:c r="B7" s="12" t="str">
        <x:v>node-pg-migrate Git → aplicar DEV apos revisao → testes → aplicar PROD apos autorizacao</x:v>
      </x:c>
    </x:row>
    <x:row r="8" ht="34" customHeight="1">
      <x:c r="A8" s="12" t="str">
        <x:v>Codigo</x:v>
      </x:c>
      <x:c r="B8" s="12" t="str">
        <x:v>Um monorepo backend/, frontend/, docs/v1/. Branch por Issue + Pull Request com revisao</x:v>
      </x:c>
    </x:row>
    <x:row r="9" ht="34" customHeight="1">
      <x:c r="A9" s="12" t="str">
        <x:v>Acesso</x:v>
      </x:c>
      <x:c r="B9" s="12" t="str">
        <x:v>Contas individuais por dev; segredos nao versionados; somente pessoas autorizadas acessam PROD</x:v>
      </x:c>
    </x:row>
    <x:row r="10" ht="34" customHeight="1">
      <x:c r="A10" s="12" t="str">
        <x:v>Assinatura</x:v>
      </x:c>
      <x:c r="B10" s="12" t="str">
        <x:v>Comecar plantel-dev no Free. Antes do lancamento, plantel-prod Pro. Para manter projetos Free e Pro na mesma conta, usar organizacoes distintas.</x:v>
      </x:c>
    </x:row>
    <x:row r="11" ht="34" customHeight="1">
      <x:c r="A11" s="12" t="str">
        <x:v>Hospedagem extra</x:v>
      </x:c>
      <x:c r="B11" s="12" t="str">
        <x:v>Nao contratar Render de testes; nao instalar MongoDB nesta V1</x:v>
      </x:c>
    </x:row>
    <x:row r="12" ht="34" customHeight="1">
      <x:c r="A12" s="12" t="str">
        <x:v>Fonte oficial (Supabase)</x:v>
      </x:c>
      <x:c r="B12" s="12" t="str">
        <x:v>https://supabase.com/docs/guides/platform/billing-on-supabase</x:v>
      </x:c>
    </x:row>
    <x:row r="13" ht="34" customHeight="1">
      <x:c r="A13" s="12" t="str">
        <x:v>Fonte oficial (Vercel)</x:v>
      </x:c>
      <x:c r="B13" s="12" t="str">
        <x:v>https://vercel.com/docs/deployments/environments</x:v>
      </x:c>
    </x:row>
    <x:row r="14" ht="34" customHeight="1">
      <x:c r="A14" s="12" t="str">
        <x:v>Fonte oficial (Render)</x:v>
      </x:c>
      <x:c r="B14" s="12" t="str">
        <x:v>https://render.com/docs/your-first-deploy</x:v>
      </x:c>
    </x:row>
    <x:row r="15" ht="34" customHeight="1">
      <x:c r="A15" s="12" t="str">
        <x:v>Backlog</x:v>
      </x:c>
      <x:c r="B15" s="12" t="str">
        <x:v>99 IDs historicos; 96 de lancamento; PL-062/064/071 fora do compromisso</x:v>
      </x:c>
    </x:row>
    <x:row r="16" ht="34" customHeight="1">
      <x:c r="A16" s="12" t="str">
        <x:v>Estado</x:v>
      </x:c>
      <x:c r="B16" s="12" t="str">
        <x:v>Excel e snapshot; GitHub Projects sera fonte unica depois da migracao aprovada</x:v>
      </x:c>
    </x:row>
  </x:sheetData>
  <x:pageMargins left="0.7" right="0.7" top="0.75" bottom="0.75" header="0.3" footer="0.3"/>
</x:worksheet>
</file>